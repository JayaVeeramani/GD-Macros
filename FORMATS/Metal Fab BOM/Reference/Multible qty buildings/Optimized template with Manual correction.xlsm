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VAS-1\Dropbox\FBD\IMP E-Mails and Information\STANDARDS\FORMATS\Metal Fab BOM\Multible qty buildings\Metal BOM Nesting for multiple qty buildings\"/>
    </mc:Choice>
  </mc:AlternateContent>
  <xr:revisionPtr revIDLastSave="0" documentId="13_ncr:1_{536A5F2A-F588-4116-AFA7-243D60314F8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Sheet2" sheetId="15" r:id="rId2"/>
    <sheet name="NestingSummary" sheetId="66" r:id="rId3"/>
    <sheet name="DetailedNesting" sheetId="6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9" i="15" l="1"/>
  <c r="B48" i="15"/>
  <c r="B47" i="15"/>
  <c r="B46" i="15"/>
  <c r="B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3" i="15"/>
  <c r="D2" i="15"/>
</calcChain>
</file>

<file path=xl/sharedStrings.xml><?xml version="1.0" encoding="utf-8"?>
<sst xmlns="http://schemas.openxmlformats.org/spreadsheetml/2006/main" count="323" uniqueCount="151">
  <si>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</si>
  <si>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</si>
  <si>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</si>
  <si>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</si>
  <si>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</si>
  <si>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</si>
  <si>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</si>
  <si>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</si>
  <si>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</si>
  <si>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</si>
  <si>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</si>
  <si>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</si>
  <si>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</si>
  <si>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</si>
  <si>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</si>
  <si>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</si>
  <si>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</si>
  <si>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</si>
  <si>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</si>
  <si>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</si>
  <si>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</si>
  <si>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</si>
  <si>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</si>
  <si>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</si>
  <si>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</si>
  <si>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</si>
  <si>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</si>
  <si>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</si>
  <si>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</si>
  <si>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</si>
  <si>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</si>
  <si>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</si>
  <si>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</si>
  <si>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</si>
  <si>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</si>
  <si>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</si>
  <si>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</si>
  <si>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</si>
  <si>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</si>
  <si>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</si>
  <si>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</si>
  <si>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</si>
  <si>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</si>
  <si>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</si>
  <si>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</si>
  <si>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</si>
  <si>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</si>
  <si>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</si>
  <si>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</si>
  <si>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</si>
  <si>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</si>
  <si>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</si>
  <si>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</si>
  <si>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</si>
  <si>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</si>
  <si>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</si>
  <si>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</si>
  <si>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</si>
  <si>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</si>
  <si>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</si>
  <si>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</si>
  <si>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</si>
  <si>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</si>
  <si>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</si>
  <si>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</si>
  <si>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</si>
  <si>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</si>
  <si>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</si>
  <si>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</si>
  <si>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</si>
  <si>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</si>
  <si>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</si>
  <si>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</si>
  <si>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</si>
  <si>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</si>
  <si>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</si>
  <si>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</si>
  <si>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</si>
  <si>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</si>
  <si>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</si>
  <si>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</si>
  <si>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</si>
  <si>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</si>
  <si>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</si>
  <si>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</si>
  <si>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</si>
  <si>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</si>
  <si>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</si>
  <si>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</si>
  <si>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</si>
  <si>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</si>
  <si>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</si>
  <si>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</si>
  <si>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</si>
  <si>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</si>
  <si>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</si>
  <si>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</si>
  <si>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</si>
  <si>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</si>
  <si>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</si>
  <si>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</si>
  <si>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</si>
  <si>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</si>
  <si>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</si>
  <si>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</si>
  <si>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</si>
  <si>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</si>
  <si>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</si>
  <si>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</si>
  <si>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</si>
  <si>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</si>
  <si>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</si>
  <si>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</si>
  <si>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</si>
  <si>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</si>
  <si>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</si>
  <si>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</si>
  <si>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</si>
  <si>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</si>
  <si>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</si>
  <si>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</si>
  <si>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</si>
  <si>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</si>
  <si>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</si>
  <si>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</si>
  <si>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</si>
  <si>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</si>
  <si>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</si>
  <si>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</si>
  <si>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</si>
  <si>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</si>
  <si>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</si>
  <si>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</si>
  <si>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</si>
  <si>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</si>
  <si>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</si>
  <si>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</si>
  <si>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</si>
  <si>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</si>
  <si>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</si>
  <si>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</si>
  <si>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</si>
  <si>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</si>
  <si>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</si>
  <si>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</si>
  <si>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B</t>
  </si>
  <si>
    <t>804-05137</t>
  </si>
  <si>
    <t>W24x84</t>
  </si>
  <si>
    <t>804-05136</t>
  </si>
  <si>
    <t>Beam-W24x84.0 lb/ft</t>
  </si>
  <si>
    <t>804-05138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</si>
</sst>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  <xf numFmtId="2" fontId="7" fillId="0" borderId="0" xfId="0" applyNumberFormat="1" applyFont="1"/>
  </cellXfs>
  <cellStyles count="1"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4" totalsRowShown="0">
  <autoFilter ref="A4:K54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21"/>
    <tableColumn id="2" xr3:uid="{9884691F-0A0D-47CB-8EF0-9AE590C29CC9}" name="PART#" dataDxfId="20"/>
    <tableColumn id="3" xr3:uid="{3868E0BB-A494-4109-A7E8-244E1F15175E}" name="LEGEND" dataDxfId="19"/>
    <tableColumn id="4" xr3:uid="{A4F222A3-F838-4FED-8402-8D5E4131929A}" name="ITEM #" dataDxfId="18"/>
    <tableColumn id="5" xr3:uid="{6C82C4FD-0222-4263-8F8F-1DE29AB0E7E9}" name="DESCRIPTION" dataDxfId="17"/>
    <tableColumn id="6" xr3:uid="{74DDC800-B5E7-459A-ABF8-ABAF51A457AC}" name="QTY." dataDxfId="16"/>
    <tableColumn id="7" xr3:uid="{119738FE-8C63-4234-ACE4-FA9F6A046F9C}" name="LENGTH (in.)" dataDxfId="15"/>
    <tableColumn id="8" xr3:uid="{E4370ABC-D39E-4392-8F0E-6B9C56981840}" name="RAW MATERIAL _x000a_NUMBER" dataDxfId="14"/>
    <tableColumn id="9" xr3:uid="{1A2B8888-81A1-4DB4-A951-BBABDB4647C7}" name="SUPPLIER" dataDxfId="13"/>
    <tableColumn id="10" xr3:uid="{709F9ABD-F4C3-4F5E-9F71-D158E141171F}" name="SUB-ASSEMBLY" dataDxfId="12"/>
    <tableColumn id="11" xr3:uid="{047AD226-E9D9-4FBE-A92A-B42E92B0B3A3}" name="REMARKS" dataDxfId="1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4CD6B7-0679-437E-A317-8F3B62103D3D}" name="Table1" displayName="Table1_1" ref="A1:F6" totalsRowShown="0" headerRowDxfId="0">
  <autoFilter ref="A1:F6" xr:uid="{714CD6B7-0679-437E-A317-8F3B62103D3D}"/>
  <tableColumns count="6">
    <tableColumn id="1" xr3:uid="{69CC238E-CE47-41FC-AD46-709F0670B6A4}" name="Item Description"/>
    <tableColumn id="2" xr3:uid="{84B75DE6-EF4A-411E-8F6B-6DB6A3033612}" name="Raw Material Number"/>
    <tableColumn id="3" xr3:uid="{BEB075BC-F343-47F4-819D-E0A59AC9A10C}" name="Qty"/>
    <tableColumn id="4" xr3:uid="{3930A83E-B9D3-4C8C-96B4-09DC98D3CBDE}" name="Purchase Length(inches)"/>
    <tableColumn id="5" xr3:uid="{CB7A9350-30C5-407E-931C-0567FA310A6A}" name="Purchase Length(ft)"/>
    <tableColumn id="6" xr3:uid="{0F947B3C-456C-47B1-960D-1204F8FFDA09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59E7A2-D0EC-47EE-BB58-5D1DC04C68BA}" name="Table2" displayName="Table2" ref="A1:I17" totalsRowShown="0">
  <autoFilter ref="A1:I17" xr:uid="{8359E7A2-D0EC-47EE-BB58-5D1DC04C68BA}"/>
  <tableColumns count="9">
    <tableColumn id="1" xr3:uid="{A9A4197A-A707-4FD1-B054-D0A8CCE82E0D}" name="Item Description"/>
    <tableColumn id="2" xr3:uid="{F996E46B-A4FA-4B0C-9A19-9F35829BE440}" name="Raw Material"/>
    <tableColumn id="3" xr3:uid="{B36A0DFC-0E42-47C9-83C1-AD3254B70E44}" name="Purchase Length"/>
    <tableColumn id="4" xr3:uid="{A1CBCE37-6CBD-482F-8D64-C8AC5D7B937A}" name="Cut Length1"/>
    <tableColumn id="5" xr3:uid="{7BCC2F22-1A38-4198-BB9B-D7CF38EFFA4B}" name="Cut Length2"/>
    <tableColumn id="6" xr3:uid="{D6C90299-2967-4480-B07F-0C53846D02BB}" name="Cut Length3"/>
    <tableColumn id="7" xr3:uid="{9DA3166D-1028-4041-BE59-CD3CE53E22F1}" name="Cut Length4"/>
    <tableColumn id="8" xr3:uid="{06E2748F-7080-40DE-B9D3-795A339FC8B8}" name="Total Cut Length"/>
    <tableColumn id="9" xr3:uid="{32FD34C7-8C09-477D-8B86-6249A3C8E2B0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4"/>
  <sheetViews>
    <sheetView zoomScale="115" zoomScaleNormal="115" workbookViewId="0">
      <selection activeCell="M13" sqref="M13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/>
      <c r="B5" s="22"/>
      <c r="C5" s="23"/>
      <c r="D5" s="22"/>
      <c r="E5" s="22"/>
      <c r="F5" s="23"/>
      <c r="G5" s="24"/>
      <c r="H5" s="21"/>
      <c r="I5" s="21"/>
      <c r="J5" s="21"/>
      <c r="K5" s="21"/>
      <c r="L5" s="15" t="s">
        <v>111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/>
      <c r="B6" s="22"/>
      <c r="C6" s="23"/>
      <c r="D6" s="22"/>
      <c r="E6" s="22"/>
      <c r="F6" s="23"/>
      <c r="G6" s="24"/>
      <c r="H6" s="21"/>
      <c r="I6" s="21"/>
      <c r="J6" s="21"/>
      <c r="K6" s="21"/>
      <c r="L6" s="15" t="s">
        <v>111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/>
      <c r="B7" s="22"/>
      <c r="C7" s="23"/>
      <c r="D7" s="22"/>
      <c r="E7" s="22"/>
      <c r="F7" s="23"/>
      <c r="G7" s="24"/>
      <c r="H7" s="21"/>
      <c r="I7" s="21"/>
      <c r="J7" s="21"/>
      <c r="K7" s="21"/>
      <c r="L7" s="17" t="s">
        <v>111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/>
      <c r="B8" s="22"/>
      <c r="C8" s="23"/>
      <c r="D8" s="22"/>
      <c r="E8" s="22"/>
      <c r="F8" s="23"/>
      <c r="G8" s="24"/>
      <c r="H8" s="21"/>
      <c r="I8" s="21"/>
      <c r="J8" s="21"/>
      <c r="K8" s="21"/>
      <c r="L8" s="17" t="s">
        <v>111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/>
      <c r="B9" s="22"/>
      <c r="C9" s="23"/>
      <c r="D9" s="22"/>
      <c r="E9" s="22"/>
      <c r="F9" s="23"/>
      <c r="G9" s="24"/>
      <c r="H9" s="21"/>
      <c r="I9" s="21"/>
      <c r="J9" s="21"/>
      <c r="K9" s="21"/>
      <c r="L9" s="15" t="s">
        <v>112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/>
      <c r="B10" s="22"/>
      <c r="C10" s="23"/>
      <c r="D10" s="22"/>
      <c r="E10" s="22"/>
      <c r="F10" s="23"/>
      <c r="G10" s="24"/>
      <c r="H10" s="21"/>
      <c r="I10" s="21"/>
      <c r="J10" s="21"/>
      <c r="K10" s="21"/>
      <c r="L10" s="15" t="s">
        <v>111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/>
      <c r="B11" s="22"/>
      <c r="C11" s="23"/>
      <c r="D11" s="22"/>
      <c r="E11" s="22"/>
      <c r="F11" s="23"/>
      <c r="G11" s="24"/>
      <c r="H11" s="21"/>
      <c r="I11" s="21"/>
      <c r="J11" s="21"/>
      <c r="K11" s="21"/>
      <c r="L11" s="15" t="s">
        <v>111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/>
      <c r="B12" s="22">
        <v>1474245</v>
      </c>
      <c r="C12" s="23" t="s">
        <v>145</v>
      </c>
      <c r="D12" s="22">
        <v>8</v>
      </c>
      <c r="E12" s="22" t="s">
        <v>81</v>
      </c>
      <c r="F12" s="23">
        <v>9</v>
      </c>
      <c r="G12" s="24">
        <v>218.5</v>
      </c>
      <c r="H12" s="21"/>
      <c r="I12" s="21"/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/>
      <c r="B13" s="22">
        <v>1474245</v>
      </c>
      <c r="C13" s="23" t="s">
        <v>145</v>
      </c>
      <c r="D13" s="22">
        <v>9</v>
      </c>
      <c r="E13" s="22" t="s">
        <v>81</v>
      </c>
      <c r="F13" s="23">
        <v>1</v>
      </c>
      <c r="G13" s="24">
        <v>218.5</v>
      </c>
      <c r="H13" s="21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2">
        <v>1474245</v>
      </c>
      <c r="C14" s="23" t="s">
        <v>145</v>
      </c>
      <c r="D14" s="22">
        <v>10</v>
      </c>
      <c r="E14" s="22" t="s">
        <v>81</v>
      </c>
      <c r="F14" s="23">
        <v>1</v>
      </c>
      <c r="G14" s="24">
        <v>218.5</v>
      </c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2">
        <v>1474245</v>
      </c>
      <c r="C15" s="23" t="s">
        <v>145</v>
      </c>
      <c r="D15" s="22">
        <v>11</v>
      </c>
      <c r="E15" s="22" t="s">
        <v>81</v>
      </c>
      <c r="F15" s="23">
        <v>1</v>
      </c>
      <c r="G15" s="24">
        <v>218.5</v>
      </c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>
        <v>1474245</v>
      </c>
      <c r="C16" s="23" t="s">
        <v>145</v>
      </c>
      <c r="D16" s="22">
        <v>12</v>
      </c>
      <c r="E16" s="22" t="s">
        <v>81</v>
      </c>
      <c r="F16" s="23">
        <v>2</v>
      </c>
      <c r="G16" s="24">
        <v>218.5</v>
      </c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>
        <v>1474245</v>
      </c>
      <c r="C17" s="23" t="s">
        <v>145</v>
      </c>
      <c r="D17" s="22">
        <v>13</v>
      </c>
      <c r="E17" s="22" t="s">
        <v>81</v>
      </c>
      <c r="F17" s="23">
        <v>3</v>
      </c>
      <c r="G17" s="24">
        <v>180.375</v>
      </c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>
        <v>1474245</v>
      </c>
      <c r="C18" s="23" t="s">
        <v>145</v>
      </c>
      <c r="D18" s="22">
        <v>14</v>
      </c>
      <c r="E18" s="22" t="s">
        <v>81</v>
      </c>
      <c r="F18" s="23">
        <v>3</v>
      </c>
      <c r="G18" s="24">
        <v>140.375</v>
      </c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>
        <v>1474245</v>
      </c>
      <c r="C19" s="23" t="s">
        <v>145</v>
      </c>
      <c r="D19" s="22">
        <v>15</v>
      </c>
      <c r="E19" s="22" t="s">
        <v>81</v>
      </c>
      <c r="F19" s="23">
        <v>7</v>
      </c>
      <c r="G19" s="24">
        <v>139.375</v>
      </c>
      <c r="H19" s="25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>
        <v>1474245</v>
      </c>
      <c r="C20" s="23" t="s">
        <v>145</v>
      </c>
      <c r="D20" s="22">
        <v>16</v>
      </c>
      <c r="E20" s="22" t="s">
        <v>81</v>
      </c>
      <c r="F20" s="23">
        <v>1</v>
      </c>
      <c r="G20" s="24">
        <v>111.375</v>
      </c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>
        <v>1474245</v>
      </c>
      <c r="C21" s="23" t="s">
        <v>145</v>
      </c>
      <c r="D21" s="22">
        <v>17</v>
      </c>
      <c r="E21" s="22" t="s">
        <v>81</v>
      </c>
      <c r="F21" s="23">
        <v>1</v>
      </c>
      <c r="G21" s="24">
        <v>111.375</v>
      </c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>
        <v>1474245</v>
      </c>
      <c r="C22" s="23" t="s">
        <v>145</v>
      </c>
      <c r="D22" s="22">
        <v>18</v>
      </c>
      <c r="E22" s="22" t="s">
        <v>81</v>
      </c>
      <c r="F22" s="23">
        <v>1</v>
      </c>
      <c r="G22" s="24">
        <v>88.125</v>
      </c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>
        <v>1474245</v>
      </c>
      <c r="C23" s="23" t="s">
        <v>145</v>
      </c>
      <c r="D23" s="22">
        <v>19</v>
      </c>
      <c r="E23" s="22" t="s">
        <v>81</v>
      </c>
      <c r="F23" s="23">
        <v>1</v>
      </c>
      <c r="G23" s="24">
        <v>88.125</v>
      </c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>
        <v>1474245</v>
      </c>
      <c r="C24" s="23" t="s">
        <v>145</v>
      </c>
      <c r="D24" s="22">
        <v>20</v>
      </c>
      <c r="E24" s="22" t="s">
        <v>81</v>
      </c>
      <c r="F24" s="23">
        <v>1</v>
      </c>
      <c r="G24" s="24">
        <v>78.875</v>
      </c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7">
        <v>1474245</v>
      </c>
      <c r="C25" s="28" t="s">
        <v>145</v>
      </c>
      <c r="D25" s="27">
        <v>21</v>
      </c>
      <c r="E25" s="27" t="s">
        <v>81</v>
      </c>
      <c r="F25" s="28">
        <v>1</v>
      </c>
      <c r="G25" s="29">
        <v>78.875</v>
      </c>
      <c r="H25" s="30"/>
      <c r="I25" s="26"/>
      <c r="J25" s="26"/>
      <c r="K25" s="26"/>
    </row>
    <row r="26" spans="1:1023" x14ac:dyDescent="0.3">
      <c r="A26" s="21"/>
      <c r="B26" s="22">
        <v>1474245</v>
      </c>
      <c r="C26" s="23" t="s">
        <v>145</v>
      </c>
      <c r="D26" s="22">
        <v>22</v>
      </c>
      <c r="E26" s="22" t="s">
        <v>81</v>
      </c>
      <c r="F26" s="23">
        <v>1</v>
      </c>
      <c r="G26" s="24">
        <v>72.375</v>
      </c>
      <c r="H26" s="25"/>
      <c r="I26" s="21"/>
      <c r="J26" s="21"/>
      <c r="K26" s="21"/>
    </row>
    <row r="27" spans="1:1023" x14ac:dyDescent="0.3">
      <c r="A27" s="21"/>
      <c r="B27" s="22">
        <v>1474245</v>
      </c>
      <c r="C27" s="23" t="s">
        <v>145</v>
      </c>
      <c r="D27" s="22">
        <v>23</v>
      </c>
      <c r="E27" s="22" t="s">
        <v>81</v>
      </c>
      <c r="F27" s="23">
        <v>1</v>
      </c>
      <c r="G27" s="24">
        <v>72.375</v>
      </c>
      <c r="H27" s="25"/>
      <c r="I27" s="21"/>
      <c r="J27" s="21"/>
      <c r="K27" s="21"/>
    </row>
    <row r="28" spans="1:1023" x14ac:dyDescent="0.3">
      <c r="A28" s="21"/>
      <c r="B28" s="22">
        <v>1474245</v>
      </c>
      <c r="C28" s="23" t="s">
        <v>145</v>
      </c>
      <c r="D28" s="22">
        <v>24</v>
      </c>
      <c r="E28" s="22" t="s">
        <v>81</v>
      </c>
      <c r="F28" s="23">
        <v>10</v>
      </c>
      <c r="G28" s="24">
        <v>54.875</v>
      </c>
      <c r="H28" s="25"/>
      <c r="I28" s="21"/>
      <c r="J28" s="21"/>
      <c r="K28" s="21"/>
    </row>
    <row r="29" spans="1:1023" x14ac:dyDescent="0.3">
      <c r="A29" s="21"/>
      <c r="B29" s="22">
        <v>1474245</v>
      </c>
      <c r="C29" s="23" t="s">
        <v>145</v>
      </c>
      <c r="D29" s="22">
        <v>25</v>
      </c>
      <c r="E29" s="22" t="s">
        <v>81</v>
      </c>
      <c r="F29" s="23">
        <v>1</v>
      </c>
      <c r="G29" s="24">
        <v>20.625</v>
      </c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7"/>
      <c r="C34" s="28"/>
      <c r="D34" s="27"/>
      <c r="E34" s="27"/>
      <c r="F34" s="28"/>
      <c r="G34" s="29"/>
      <c r="H34" s="30"/>
      <c r="I34" s="26"/>
      <c r="J34" s="26"/>
      <c r="K34" s="26"/>
    </row>
    <row r="35" spans="1:11" x14ac:dyDescent="0.3">
      <c r="A35" s="21"/>
      <c r="B35" s="22"/>
      <c r="C35" s="23"/>
      <c r="D35" s="22"/>
      <c r="E35" s="22"/>
      <c r="F35" s="23"/>
      <c r="G35" s="24"/>
      <c r="H35" s="25"/>
      <c r="I35" s="21"/>
      <c r="J35" s="21"/>
      <c r="K35" s="21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51"/>
  <sheetViews>
    <sheetView tabSelected="1" topLeftCell="A22" zoomScale="115" zoomScaleNormal="115" workbookViewId="0">
      <selection activeCell="G36" sqref="G36"/>
    </sheetView>
  </sheetViews>
  <sheetFormatPr defaultColWidth="8.88671875" defaultRowHeight="10.199999999999999" x14ac:dyDescent="0.2"/>
  <cols>
    <col min="1" max="1" width="13" style="16" customWidth="1"/>
    <col min="2" max="2" width="10.6640625" style="16" bestFit="1" customWidth="1"/>
    <col min="3" max="3" width="9.6640625" style="16" bestFit="1" customWidth="1"/>
    <col min="4" max="4" width="7.44140625" style="16" bestFit="1" customWidth="1"/>
    <col min="5" max="5" width="4.44140625" style="16" bestFit="1" customWidth="1"/>
    <col min="6" max="6" width="47.88671875" style="16" bestFit="1" customWidth="1"/>
    <col min="7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v>480</v>
      </c>
      <c r="C2" s="16" t="s">
        <v>16</v>
      </c>
      <c r="D2" s="16">
        <f>B2/12</f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v>600</v>
      </c>
      <c r="C3" s="16" t="s">
        <v>19</v>
      </c>
      <c r="D3" s="16">
        <f t="shared" ref="D3:D44" si="0">B3/12</f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v>480</v>
      </c>
      <c r="C4" s="16" t="s">
        <v>21</v>
      </c>
      <c r="D4" s="16">
        <f t="shared" si="0"/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764</v>
      </c>
      <c r="C5" s="16" t="s">
        <v>127</v>
      </c>
      <c r="D5" s="33">
        <f t="shared" si="0"/>
        <v>63.666666666666664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728</v>
      </c>
      <c r="C6" s="16" t="s">
        <v>128</v>
      </c>
      <c r="D6" s="33">
        <f t="shared" si="0"/>
        <v>60.666666666666664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688</v>
      </c>
      <c r="C7" s="16" t="s">
        <v>129</v>
      </c>
      <c r="D7" s="33">
        <f t="shared" si="0"/>
        <v>57.333333333333336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600</v>
      </c>
      <c r="C8" s="16" t="s">
        <v>23</v>
      </c>
      <c r="D8" s="16">
        <f t="shared" si="0"/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604</v>
      </c>
      <c r="C9" s="16" t="s">
        <v>130</v>
      </c>
      <c r="D9" s="33">
        <f t="shared" si="0"/>
        <v>50.333333333333336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340</v>
      </c>
      <c r="C10" s="16" t="s">
        <v>131</v>
      </c>
      <c r="D10" s="33">
        <f t="shared" si="0"/>
        <v>28.333333333333332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332</v>
      </c>
      <c r="C11" s="16" t="s">
        <v>132</v>
      </c>
      <c r="D11" s="33">
        <f t="shared" si="0"/>
        <v>27.666666666666668</v>
      </c>
      <c r="E11" s="16" t="s">
        <v>18</v>
      </c>
      <c r="F11" s="16" t="s">
        <v>24</v>
      </c>
    </row>
    <row r="12" spans="1:6" x14ac:dyDescent="0.2">
      <c r="A12" s="16" t="s">
        <v>81</v>
      </c>
      <c r="B12" s="16">
        <v>308</v>
      </c>
      <c r="C12" s="16" t="s">
        <v>133</v>
      </c>
      <c r="D12" s="33">
        <f t="shared" si="0"/>
        <v>25.666666666666668</v>
      </c>
      <c r="E12" s="16" t="s">
        <v>18</v>
      </c>
      <c r="F12" s="16" t="s">
        <v>24</v>
      </c>
    </row>
    <row r="13" spans="1:6" x14ac:dyDescent="0.2">
      <c r="A13" s="16" t="s">
        <v>80</v>
      </c>
      <c r="B13" s="16">
        <v>720</v>
      </c>
      <c r="C13" s="16" t="s">
        <v>14</v>
      </c>
      <c r="D13" s="16">
        <f t="shared" si="0"/>
        <v>60</v>
      </c>
      <c r="E13" s="16" t="s">
        <v>18</v>
      </c>
      <c r="F13" s="16" t="s">
        <v>25</v>
      </c>
    </row>
    <row r="14" spans="1:6" x14ac:dyDescent="0.2">
      <c r="A14" s="16" t="s">
        <v>80</v>
      </c>
      <c r="B14" s="16">
        <v>700</v>
      </c>
      <c r="C14" s="16" t="s">
        <v>134</v>
      </c>
      <c r="D14" s="33">
        <f t="shared" si="0"/>
        <v>58.333333333333336</v>
      </c>
      <c r="E14" s="16" t="s">
        <v>18</v>
      </c>
      <c r="F14" s="16" t="s">
        <v>25</v>
      </c>
    </row>
    <row r="15" spans="1:6" x14ac:dyDescent="0.2">
      <c r="A15" s="16" t="s">
        <v>80</v>
      </c>
      <c r="B15" s="16">
        <v>816</v>
      </c>
      <c r="C15" s="16" t="s">
        <v>146</v>
      </c>
      <c r="D15" s="33">
        <f t="shared" si="0"/>
        <v>68</v>
      </c>
      <c r="E15" s="16" t="s">
        <v>18</v>
      </c>
      <c r="F15" s="16" t="s">
        <v>25</v>
      </c>
    </row>
    <row r="16" spans="1:6" x14ac:dyDescent="0.2">
      <c r="A16" s="16" t="s">
        <v>147</v>
      </c>
      <c r="B16" s="16">
        <v>816</v>
      </c>
      <c r="C16" s="16" t="s">
        <v>148</v>
      </c>
      <c r="D16" s="33">
        <f t="shared" si="0"/>
        <v>68</v>
      </c>
      <c r="E16" s="16" t="s">
        <v>18</v>
      </c>
      <c r="F16" s="16" t="s">
        <v>149</v>
      </c>
    </row>
    <row r="17" spans="1:6" x14ac:dyDescent="0.2">
      <c r="A17" s="16" t="s">
        <v>61</v>
      </c>
      <c r="B17" s="16">
        <v>804</v>
      </c>
      <c r="C17" s="16" t="s">
        <v>135</v>
      </c>
      <c r="D17" s="16">
        <f t="shared" si="0"/>
        <v>67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756</v>
      </c>
      <c r="C18" s="16" t="s">
        <v>136</v>
      </c>
      <c r="D18" s="16">
        <f t="shared" si="0"/>
        <v>63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732</v>
      </c>
      <c r="C19" s="16" t="s">
        <v>137</v>
      </c>
      <c r="D19" s="16">
        <f t="shared" si="0"/>
        <v>61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720</v>
      </c>
      <c r="C20" s="16" t="s">
        <v>26</v>
      </c>
      <c r="D20" s="16">
        <f t="shared" si="0"/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692</v>
      </c>
      <c r="C21" s="16" t="s">
        <v>138</v>
      </c>
      <c r="D21" s="33">
        <f t="shared" si="0"/>
        <v>57.666666666666664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672</v>
      </c>
      <c r="C22" s="16" t="s">
        <v>139</v>
      </c>
      <c r="D22" s="16">
        <f t="shared" si="0"/>
        <v>56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580</v>
      </c>
      <c r="C23" s="16" t="s">
        <v>140</v>
      </c>
      <c r="D23" s="33">
        <f t="shared" si="0"/>
        <v>48.333333333333336</v>
      </c>
      <c r="E23" s="16" t="s">
        <v>18</v>
      </c>
      <c r="F23" s="16" t="s">
        <v>27</v>
      </c>
    </row>
    <row r="24" spans="1:6" x14ac:dyDescent="0.2">
      <c r="A24" s="16" t="s">
        <v>61</v>
      </c>
      <c r="B24" s="16">
        <v>568</v>
      </c>
      <c r="C24" s="16" t="s">
        <v>141</v>
      </c>
      <c r="D24" s="33">
        <f t="shared" si="0"/>
        <v>47.333333333333336</v>
      </c>
      <c r="E24" s="16" t="s">
        <v>18</v>
      </c>
      <c r="F24" s="16" t="s">
        <v>27</v>
      </c>
    </row>
    <row r="25" spans="1:6" x14ac:dyDescent="0.2">
      <c r="A25" s="16" t="s">
        <v>61</v>
      </c>
      <c r="B25" s="16">
        <v>460</v>
      </c>
      <c r="C25" s="16" t="s">
        <v>142</v>
      </c>
      <c r="D25" s="33">
        <f t="shared" si="0"/>
        <v>38.333333333333336</v>
      </c>
      <c r="E25" s="16" t="s">
        <v>18</v>
      </c>
      <c r="F25" s="16" t="s">
        <v>27</v>
      </c>
    </row>
    <row r="26" spans="1:6" x14ac:dyDescent="0.2">
      <c r="A26" s="16" t="s">
        <v>61</v>
      </c>
      <c r="B26" s="16">
        <v>440</v>
      </c>
      <c r="C26" s="16" t="s">
        <v>143</v>
      </c>
      <c r="D26" s="33">
        <f t="shared" si="0"/>
        <v>36.666666666666664</v>
      </c>
      <c r="E26" s="16" t="s">
        <v>18</v>
      </c>
      <c r="F26" s="16" t="s">
        <v>27</v>
      </c>
    </row>
    <row r="27" spans="1:6" x14ac:dyDescent="0.2">
      <c r="A27" s="16" t="s">
        <v>61</v>
      </c>
      <c r="B27" s="16">
        <v>424</v>
      </c>
      <c r="C27" s="16" t="s">
        <v>144</v>
      </c>
      <c r="D27" s="33">
        <f t="shared" si="0"/>
        <v>35.333333333333336</v>
      </c>
      <c r="E27" s="16" t="s">
        <v>18</v>
      </c>
      <c r="F27" s="16" t="s">
        <v>27</v>
      </c>
    </row>
    <row r="28" spans="1:6" x14ac:dyDescent="0.2">
      <c r="A28" s="16" t="s">
        <v>62</v>
      </c>
      <c r="B28" s="16">
        <v>480</v>
      </c>
      <c r="C28" s="16" t="s">
        <v>28</v>
      </c>
      <c r="D28" s="16">
        <f t="shared" si="0"/>
        <v>40</v>
      </c>
      <c r="E28" s="16" t="s">
        <v>18</v>
      </c>
      <c r="F28" s="16" t="s">
        <v>29</v>
      </c>
    </row>
    <row r="29" spans="1:6" x14ac:dyDescent="0.2">
      <c r="A29" s="16" t="s">
        <v>84</v>
      </c>
      <c r="B29" s="16">
        <v>480</v>
      </c>
      <c r="C29" s="16" t="s">
        <v>30</v>
      </c>
      <c r="D29" s="16">
        <f t="shared" si="0"/>
        <v>40</v>
      </c>
      <c r="E29" s="16" t="s">
        <v>18</v>
      </c>
      <c r="F29" s="16" t="s">
        <v>31</v>
      </c>
    </row>
    <row r="30" spans="1:6" x14ac:dyDescent="0.2">
      <c r="A30" s="16" t="s">
        <v>63</v>
      </c>
      <c r="B30" s="16">
        <v>480</v>
      </c>
      <c r="C30" s="16" t="s">
        <v>32</v>
      </c>
      <c r="D30" s="16">
        <f t="shared" si="0"/>
        <v>40</v>
      </c>
      <c r="E30" s="16" t="s">
        <v>18</v>
      </c>
      <c r="F30" s="16" t="s">
        <v>33</v>
      </c>
    </row>
    <row r="31" spans="1:6" x14ac:dyDescent="0.2">
      <c r="A31" s="16" t="s">
        <v>64</v>
      </c>
      <c r="B31" s="16">
        <v>600</v>
      </c>
      <c r="C31" s="16" t="s">
        <v>15</v>
      </c>
      <c r="D31" s="16">
        <f t="shared" si="0"/>
        <v>50</v>
      </c>
      <c r="E31" s="16" t="s">
        <v>18</v>
      </c>
      <c r="F31" s="16" t="s">
        <v>34</v>
      </c>
    </row>
    <row r="32" spans="1:6" x14ac:dyDescent="0.2">
      <c r="A32" s="16" t="s">
        <v>79</v>
      </c>
      <c r="B32" s="16">
        <v>480</v>
      </c>
      <c r="C32" s="16" t="s">
        <v>35</v>
      </c>
      <c r="D32" s="16">
        <f t="shared" si="0"/>
        <v>40</v>
      </c>
      <c r="E32" s="16" t="s">
        <v>18</v>
      </c>
      <c r="F32" s="16" t="s">
        <v>36</v>
      </c>
    </row>
    <row r="33" spans="1:6" x14ac:dyDescent="0.2">
      <c r="A33" s="16" t="s">
        <v>65</v>
      </c>
      <c r="B33" s="16">
        <v>480</v>
      </c>
      <c r="C33" s="16" t="s">
        <v>37</v>
      </c>
      <c r="D33" s="16">
        <f t="shared" si="0"/>
        <v>40</v>
      </c>
      <c r="E33" s="16" t="s">
        <v>18</v>
      </c>
      <c r="F33" s="16" t="s">
        <v>38</v>
      </c>
    </row>
    <row r="34" spans="1:6" x14ac:dyDescent="0.2">
      <c r="A34" s="16" t="s">
        <v>66</v>
      </c>
      <c r="B34" s="16">
        <v>480</v>
      </c>
      <c r="C34" s="16" t="s">
        <v>39</v>
      </c>
      <c r="D34" s="16">
        <f t="shared" si="0"/>
        <v>40</v>
      </c>
      <c r="E34" s="16" t="s">
        <v>18</v>
      </c>
      <c r="F34" s="16" t="s">
        <v>40</v>
      </c>
    </row>
    <row r="35" spans="1:6" x14ac:dyDescent="0.2">
      <c r="A35" s="16" t="s">
        <v>85</v>
      </c>
      <c r="B35" s="16">
        <v>720</v>
      </c>
      <c r="C35" s="16" t="s">
        <v>41</v>
      </c>
      <c r="D35" s="16">
        <f t="shared" si="0"/>
        <v>60</v>
      </c>
      <c r="E35" s="16" t="s">
        <v>18</v>
      </c>
      <c r="F35" s="16" t="s">
        <v>42</v>
      </c>
    </row>
    <row r="36" spans="1:6" x14ac:dyDescent="0.2">
      <c r="A36" s="16" t="s">
        <v>85</v>
      </c>
      <c r="B36" s="16">
        <v>816</v>
      </c>
      <c r="C36" s="16" t="s">
        <v>150</v>
      </c>
      <c r="D36" s="16">
        <f t="shared" si="0"/>
        <v>68</v>
      </c>
      <c r="E36" s="16" t="s">
        <v>18</v>
      </c>
      <c r="F36" s="16" t="s">
        <v>42</v>
      </c>
    </row>
    <row r="37" spans="1:6" x14ac:dyDescent="0.2">
      <c r="A37" s="16" t="s">
        <v>67</v>
      </c>
      <c r="B37" s="16">
        <v>720</v>
      </c>
      <c r="C37" s="16" t="s">
        <v>43</v>
      </c>
      <c r="D37" s="16">
        <f t="shared" si="0"/>
        <v>60</v>
      </c>
      <c r="E37" s="16" t="s">
        <v>18</v>
      </c>
      <c r="F37" s="16" t="s">
        <v>44</v>
      </c>
    </row>
    <row r="38" spans="1:6" x14ac:dyDescent="0.2">
      <c r="A38" s="16" t="s">
        <v>78</v>
      </c>
      <c r="B38" s="16">
        <v>240</v>
      </c>
      <c r="C38" s="16" t="s">
        <v>45</v>
      </c>
      <c r="D38" s="16">
        <f t="shared" si="0"/>
        <v>20</v>
      </c>
      <c r="E38" s="16" t="s">
        <v>18</v>
      </c>
      <c r="F38" s="16" t="s">
        <v>46</v>
      </c>
    </row>
    <row r="39" spans="1:6" x14ac:dyDescent="0.2">
      <c r="A39" s="16" t="s">
        <v>77</v>
      </c>
      <c r="B39" s="16">
        <v>240</v>
      </c>
      <c r="C39" s="16" t="s">
        <v>47</v>
      </c>
      <c r="D39" s="16">
        <f t="shared" si="0"/>
        <v>20</v>
      </c>
      <c r="E39" s="16" t="s">
        <v>18</v>
      </c>
      <c r="F39" s="16" t="s">
        <v>48</v>
      </c>
    </row>
    <row r="40" spans="1:6" x14ac:dyDescent="0.2">
      <c r="A40" s="16" t="s">
        <v>91</v>
      </c>
      <c r="B40" s="16">
        <v>576</v>
      </c>
      <c r="C40" s="16" t="s">
        <v>49</v>
      </c>
      <c r="D40" s="16">
        <f t="shared" si="0"/>
        <v>48</v>
      </c>
      <c r="E40" s="16" t="s">
        <v>18</v>
      </c>
      <c r="F40" s="16" t="s">
        <v>50</v>
      </c>
    </row>
    <row r="41" spans="1:6" x14ac:dyDescent="0.2">
      <c r="A41" s="16" t="s">
        <v>86</v>
      </c>
      <c r="B41" s="16">
        <v>480</v>
      </c>
      <c r="C41" s="16" t="s">
        <v>51</v>
      </c>
      <c r="D41" s="16">
        <f t="shared" si="0"/>
        <v>40</v>
      </c>
      <c r="E41" s="16" t="s">
        <v>18</v>
      </c>
      <c r="F41" s="16" t="s">
        <v>52</v>
      </c>
    </row>
    <row r="42" spans="1:6" x14ac:dyDescent="0.2">
      <c r="A42" s="16" t="s">
        <v>88</v>
      </c>
      <c r="B42" s="16">
        <v>480</v>
      </c>
      <c r="C42" s="16" t="s">
        <v>53</v>
      </c>
      <c r="D42" s="16">
        <f t="shared" si="0"/>
        <v>40</v>
      </c>
      <c r="E42" s="16" t="s">
        <v>18</v>
      </c>
      <c r="F42" s="16" t="s">
        <v>54</v>
      </c>
    </row>
    <row r="43" spans="1:6" x14ac:dyDescent="0.2">
      <c r="A43" s="16" t="s">
        <v>87</v>
      </c>
      <c r="B43" s="16">
        <v>576</v>
      </c>
      <c r="C43" s="16" t="s">
        <v>55</v>
      </c>
      <c r="D43" s="16">
        <f t="shared" si="0"/>
        <v>48</v>
      </c>
      <c r="E43" s="16" t="s">
        <v>18</v>
      </c>
      <c r="F43" s="16" t="s">
        <v>56</v>
      </c>
    </row>
    <row r="44" spans="1:6" x14ac:dyDescent="0.2">
      <c r="A44" s="16" t="s">
        <v>89</v>
      </c>
      <c r="B44" s="16">
        <v>240</v>
      </c>
      <c r="C44" s="16" t="s">
        <v>57</v>
      </c>
      <c r="D44" s="16">
        <f t="shared" si="0"/>
        <v>20</v>
      </c>
      <c r="E44" s="16" t="s">
        <v>18</v>
      </c>
      <c r="F44" s="16" t="s">
        <v>92</v>
      </c>
    </row>
    <row r="45" spans="1:6" x14ac:dyDescent="0.2">
      <c r="A45" s="16" t="s">
        <v>90</v>
      </c>
      <c r="B45" s="16">
        <f t="shared" ref="B45" si="1">D45*12</f>
        <v>480</v>
      </c>
      <c r="C45" s="16" t="s">
        <v>58</v>
      </c>
      <c r="D45" s="16">
        <v>40</v>
      </c>
      <c r="E45" s="16" t="s">
        <v>18</v>
      </c>
      <c r="F45" s="16" t="s">
        <v>59</v>
      </c>
    </row>
    <row r="46" spans="1:6" x14ac:dyDescent="0.2">
      <c r="A46" s="16" t="s">
        <v>99</v>
      </c>
      <c r="B46" s="16">
        <f>D46*12</f>
        <v>240</v>
      </c>
      <c r="C46" s="16" t="s">
        <v>93</v>
      </c>
      <c r="D46" s="16">
        <v>20</v>
      </c>
      <c r="E46" s="16" t="s">
        <v>18</v>
      </c>
      <c r="F46" s="16" t="s">
        <v>94</v>
      </c>
    </row>
    <row r="47" spans="1:6" x14ac:dyDescent="0.2">
      <c r="A47" s="16" t="s">
        <v>100</v>
      </c>
      <c r="B47" s="16">
        <f t="shared" ref="B47:B49" si="2">D47*12</f>
        <v>240</v>
      </c>
      <c r="C47" s="16" t="s">
        <v>95</v>
      </c>
      <c r="D47" s="16">
        <v>20</v>
      </c>
      <c r="E47" s="16" t="s">
        <v>18</v>
      </c>
      <c r="F47" s="16" t="s">
        <v>96</v>
      </c>
    </row>
    <row r="48" spans="1:6" x14ac:dyDescent="0.2">
      <c r="A48" s="16" t="s">
        <v>101</v>
      </c>
      <c r="B48" s="16">
        <f t="shared" si="2"/>
        <v>240</v>
      </c>
      <c r="C48" s="16" t="s">
        <v>97</v>
      </c>
      <c r="D48" s="16">
        <v>20</v>
      </c>
      <c r="E48" s="16" t="s">
        <v>18</v>
      </c>
      <c r="F48" s="16" t="s">
        <v>98</v>
      </c>
    </row>
    <row r="49" spans="1:6" x14ac:dyDescent="0.2">
      <c r="A49" s="16" t="s">
        <v>103</v>
      </c>
      <c r="B49" s="16">
        <f t="shared" si="2"/>
        <v>240</v>
      </c>
      <c r="C49" s="16" t="s">
        <v>102</v>
      </c>
      <c r="D49" s="16">
        <v>20</v>
      </c>
      <c r="E49" s="16" t="s">
        <v>18</v>
      </c>
      <c r="F49" s="16" t="s">
        <v>104</v>
      </c>
    </row>
    <row r="50" spans="1:6" x14ac:dyDescent="0.2">
      <c r="A50" s="16" t="s">
        <v>105</v>
      </c>
      <c r="B50" s="16">
        <v>480</v>
      </c>
      <c r="C50" s="16" t="s">
        <v>106</v>
      </c>
      <c r="D50" s="16">
        <v>40</v>
      </c>
      <c r="E50" s="16" t="s">
        <v>18</v>
      </c>
      <c r="F50" s="16" t="s">
        <v>109</v>
      </c>
    </row>
    <row r="51" spans="1:6" x14ac:dyDescent="0.2">
      <c r="A51" s="16" t="s">
        <v>107</v>
      </c>
      <c r="B51" s="16">
        <v>480</v>
      </c>
      <c r="C51" s="16" t="s">
        <v>108</v>
      </c>
      <c r="D51" s="16">
        <v>40</v>
      </c>
      <c r="E51" s="16" t="s">
        <v>18</v>
      </c>
      <c r="F51" s="16" t="s">
        <v>110</v>
      </c>
    </row>
  </sheetData>
  <dataConsolidate/>
  <phoneticPr fontId="6" type="noConversion"/>
  <conditionalFormatting sqref="C58:C63">
    <cfRule type="duplicateValues" dxfId="5" priority="4"/>
  </conditionalFormatting>
  <conditionalFormatting sqref="C91:C92 C50:C57 C103:C1048576">
    <cfRule type="duplicateValues" dxfId="4" priority="5"/>
  </conditionalFormatting>
  <conditionalFormatting sqref="C43:C48 C1:C39">
    <cfRule type="duplicateValues" dxfId="3" priority="3"/>
  </conditionalFormatting>
  <conditionalFormatting sqref="C40">
    <cfRule type="duplicateValues" dxfId="2" priority="2"/>
  </conditionalFormatting>
  <conditionalFormatting sqref="C41:C42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20852-9B35-4515-9720-A6AD44EC0427}">
  <dimension ref="A1:F6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113</v>
      </c>
      <c r="B1" s="31" t="s">
        <v>114</v>
      </c>
      <c r="C1" s="31" t="s">
        <v>115</v>
      </c>
      <c r="D1" s="31" t="s">
        <v>116</v>
      </c>
      <c r="E1" s="31" t="s">
        <v>117</v>
      </c>
      <c r="F1" s="31" t="s">
        <v>118</v>
      </c>
    </row>
    <row r="2" spans="1:6" x14ac:dyDescent="0.3">
      <c r="A2" t="s">
        <v>81</v>
      </c>
      <c r="B2" t="s">
        <v>132</v>
      </c>
      <c r="C2">
        <v>3</v>
      </c>
      <c r="D2">
        <v>332</v>
      </c>
      <c r="E2">
        <v>27.67</v>
      </c>
      <c r="F2">
        <v>83</v>
      </c>
    </row>
    <row r="3" spans="1:6" x14ac:dyDescent="0.3">
      <c r="A3" t="s">
        <v>81</v>
      </c>
      <c r="B3" t="s">
        <v>133</v>
      </c>
      <c r="C3">
        <v>5</v>
      </c>
      <c r="D3">
        <v>308</v>
      </c>
      <c r="E3">
        <v>25.67</v>
      </c>
      <c r="F3">
        <v>128.33000000000001</v>
      </c>
    </row>
    <row r="4" spans="1:6" x14ac:dyDescent="0.3">
      <c r="A4" t="s">
        <v>81</v>
      </c>
      <c r="B4" t="s">
        <v>128</v>
      </c>
      <c r="C4">
        <v>2</v>
      </c>
      <c r="D4">
        <v>728</v>
      </c>
      <c r="E4">
        <v>60.67</v>
      </c>
      <c r="F4">
        <v>121.33</v>
      </c>
    </row>
    <row r="5" spans="1:6" x14ac:dyDescent="0.3">
      <c r="A5" t="s">
        <v>81</v>
      </c>
      <c r="B5" t="s">
        <v>127</v>
      </c>
      <c r="C5">
        <v>1</v>
      </c>
      <c r="D5">
        <v>764</v>
      </c>
      <c r="E5">
        <v>63.67</v>
      </c>
      <c r="F5">
        <v>63.67</v>
      </c>
    </row>
    <row r="6" spans="1:6" x14ac:dyDescent="0.3">
      <c r="A6" t="s">
        <v>81</v>
      </c>
      <c r="B6" t="s">
        <v>131</v>
      </c>
      <c r="C6">
        <v>5</v>
      </c>
      <c r="D6">
        <v>340</v>
      </c>
      <c r="E6">
        <v>28.33</v>
      </c>
      <c r="F6">
        <v>141.66999999999999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46DC-18FF-41A4-9A3C-DEE978BB5B59}">
  <dimension ref="A1:I20"/>
  <sheetViews>
    <sheetView workbookViewId="0">
      <selection activeCell="G22" sqref="G22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7" width="13" customWidth="1"/>
    <col min="8" max="8" width="16.6640625" customWidth="1"/>
    <col min="9" max="9" width="12.77734375" customWidth="1"/>
  </cols>
  <sheetData>
    <row r="1" spans="1:9" x14ac:dyDescent="0.3">
      <c r="A1" t="s">
        <v>113</v>
      </c>
      <c r="B1" t="s">
        <v>119</v>
      </c>
      <c r="C1" t="s">
        <v>120</v>
      </c>
      <c r="D1" t="s">
        <v>123</v>
      </c>
      <c r="E1" t="s">
        <v>124</v>
      </c>
      <c r="F1" t="s">
        <v>125</v>
      </c>
      <c r="G1" t="s">
        <v>126</v>
      </c>
      <c r="H1" t="s">
        <v>121</v>
      </c>
      <c r="I1" t="s">
        <v>122</v>
      </c>
    </row>
    <row r="2" spans="1:9" x14ac:dyDescent="0.3">
      <c r="A2" t="s">
        <v>81</v>
      </c>
      <c r="B2" t="s">
        <v>132</v>
      </c>
      <c r="C2">
        <v>332</v>
      </c>
      <c r="D2">
        <v>218.5</v>
      </c>
      <c r="E2">
        <v>111.375</v>
      </c>
      <c r="H2">
        <v>329.875</v>
      </c>
      <c r="I2">
        <v>2.125</v>
      </c>
    </row>
    <row r="3" spans="1:9" x14ac:dyDescent="0.3">
      <c r="A3" t="s">
        <v>81</v>
      </c>
      <c r="B3" t="s">
        <v>132</v>
      </c>
      <c r="C3">
        <v>332</v>
      </c>
      <c r="D3">
        <v>218.5</v>
      </c>
      <c r="E3">
        <v>111.375</v>
      </c>
      <c r="H3">
        <v>329.875</v>
      </c>
      <c r="I3">
        <v>2.125</v>
      </c>
    </row>
    <row r="4" spans="1:9" x14ac:dyDescent="0.3">
      <c r="A4" t="s">
        <v>81</v>
      </c>
      <c r="B4" t="s">
        <v>132</v>
      </c>
      <c r="C4">
        <v>332</v>
      </c>
      <c r="D4">
        <v>218.5</v>
      </c>
      <c r="E4">
        <v>88.125</v>
      </c>
      <c r="F4">
        <v>20.625</v>
      </c>
      <c r="H4">
        <v>327.25</v>
      </c>
      <c r="I4">
        <v>4.75</v>
      </c>
    </row>
    <row r="5" spans="1:9" x14ac:dyDescent="0.3">
      <c r="A5" t="s">
        <v>81</v>
      </c>
      <c r="B5" t="s">
        <v>133</v>
      </c>
      <c r="C5">
        <v>308</v>
      </c>
      <c r="D5">
        <v>218.5</v>
      </c>
      <c r="E5">
        <v>78.875</v>
      </c>
      <c r="H5">
        <v>297.375</v>
      </c>
      <c r="I5">
        <v>10.625</v>
      </c>
    </row>
    <row r="6" spans="1:9" x14ac:dyDescent="0.3">
      <c r="A6" t="s">
        <v>81</v>
      </c>
      <c r="B6" t="s">
        <v>133</v>
      </c>
      <c r="C6">
        <v>308</v>
      </c>
      <c r="D6">
        <v>218.5</v>
      </c>
      <c r="E6">
        <v>78.875</v>
      </c>
      <c r="H6">
        <v>297.375</v>
      </c>
      <c r="I6">
        <v>10.625</v>
      </c>
    </row>
    <row r="7" spans="1:9" x14ac:dyDescent="0.3">
      <c r="A7" t="s">
        <v>81</v>
      </c>
      <c r="B7" t="s">
        <v>133</v>
      </c>
      <c r="C7">
        <v>308</v>
      </c>
      <c r="D7">
        <v>218.5</v>
      </c>
      <c r="E7">
        <v>72.375</v>
      </c>
      <c r="H7">
        <v>290.875</v>
      </c>
      <c r="I7">
        <v>17.125</v>
      </c>
    </row>
    <row r="8" spans="1:9" x14ac:dyDescent="0.3">
      <c r="A8" t="s">
        <v>81</v>
      </c>
      <c r="B8" t="s">
        <v>133</v>
      </c>
      <c r="C8">
        <v>308</v>
      </c>
      <c r="D8">
        <v>218.5</v>
      </c>
      <c r="E8">
        <v>72.375</v>
      </c>
      <c r="H8">
        <v>290.875</v>
      </c>
      <c r="I8">
        <v>17.125</v>
      </c>
    </row>
    <row r="9" spans="1:9" x14ac:dyDescent="0.3">
      <c r="A9" t="s">
        <v>81</v>
      </c>
      <c r="B9" t="s">
        <v>128</v>
      </c>
      <c r="C9">
        <v>728</v>
      </c>
      <c r="D9">
        <v>218.5</v>
      </c>
      <c r="E9">
        <v>218.5</v>
      </c>
      <c r="F9">
        <v>218.5</v>
      </c>
      <c r="G9">
        <v>54.875</v>
      </c>
      <c r="H9">
        <v>710.375</v>
      </c>
      <c r="I9">
        <v>17.625</v>
      </c>
    </row>
    <row r="10" spans="1:9" x14ac:dyDescent="0.3">
      <c r="A10" t="s">
        <v>81</v>
      </c>
      <c r="B10" t="s">
        <v>128</v>
      </c>
      <c r="C10">
        <v>728</v>
      </c>
      <c r="D10">
        <v>218.5</v>
      </c>
      <c r="E10">
        <v>218.5</v>
      </c>
      <c r="F10">
        <v>218.5</v>
      </c>
      <c r="G10">
        <v>54.875</v>
      </c>
      <c r="H10">
        <v>710.375</v>
      </c>
      <c r="I10">
        <v>17.625</v>
      </c>
    </row>
    <row r="11" spans="1:9" x14ac:dyDescent="0.3">
      <c r="A11" t="s">
        <v>81</v>
      </c>
      <c r="B11" t="s">
        <v>127</v>
      </c>
      <c r="C11">
        <v>764</v>
      </c>
      <c r="D11">
        <v>218.5</v>
      </c>
      <c r="E11">
        <v>180.375</v>
      </c>
      <c r="F11">
        <v>180.375</v>
      </c>
      <c r="G11">
        <v>180.375</v>
      </c>
      <c r="H11">
        <v>759.625</v>
      </c>
      <c r="I11">
        <v>4.375</v>
      </c>
    </row>
    <row r="12" spans="1:9" x14ac:dyDescent="0.3">
      <c r="A12" t="s">
        <v>81</v>
      </c>
      <c r="B12" t="s">
        <v>131</v>
      </c>
      <c r="C12">
        <v>340</v>
      </c>
      <c r="D12">
        <v>140.375</v>
      </c>
      <c r="E12">
        <v>140.375</v>
      </c>
      <c r="F12">
        <v>54.875</v>
      </c>
      <c r="H12">
        <v>335.625</v>
      </c>
      <c r="I12">
        <v>4.375</v>
      </c>
    </row>
    <row r="13" spans="1:9" x14ac:dyDescent="0.3">
      <c r="A13" t="s">
        <v>81</v>
      </c>
      <c r="B13" t="s">
        <v>131</v>
      </c>
      <c r="C13">
        <v>340</v>
      </c>
      <c r="D13">
        <v>140.375</v>
      </c>
      <c r="E13">
        <v>139.375</v>
      </c>
      <c r="F13">
        <v>54.875</v>
      </c>
      <c r="H13">
        <v>334.625</v>
      </c>
      <c r="I13">
        <v>5.375</v>
      </c>
    </row>
    <row r="14" spans="1:9" x14ac:dyDescent="0.3">
      <c r="A14" t="s">
        <v>81</v>
      </c>
      <c r="B14" t="s">
        <v>131</v>
      </c>
      <c r="C14">
        <v>340</v>
      </c>
      <c r="D14">
        <v>139.375</v>
      </c>
      <c r="E14">
        <v>139.375</v>
      </c>
      <c r="F14">
        <v>54.875</v>
      </c>
      <c r="H14">
        <v>333.625</v>
      </c>
      <c r="I14">
        <v>6.375</v>
      </c>
    </row>
    <row r="15" spans="1:9" x14ac:dyDescent="0.3">
      <c r="A15" t="s">
        <v>81</v>
      </c>
      <c r="B15" t="s">
        <v>131</v>
      </c>
      <c r="C15">
        <v>340</v>
      </c>
      <c r="D15">
        <v>139.375</v>
      </c>
      <c r="E15">
        <v>139.375</v>
      </c>
      <c r="F15">
        <v>54.875</v>
      </c>
      <c r="H15">
        <v>333.625</v>
      </c>
      <c r="I15">
        <v>6.375</v>
      </c>
    </row>
    <row r="16" spans="1:9" x14ac:dyDescent="0.3">
      <c r="A16" t="s">
        <v>81</v>
      </c>
      <c r="B16" t="s">
        <v>131</v>
      </c>
      <c r="C16">
        <v>340</v>
      </c>
      <c r="D16">
        <v>139.375</v>
      </c>
      <c r="E16">
        <v>139.375</v>
      </c>
      <c r="F16">
        <v>54.875</v>
      </c>
      <c r="H16">
        <v>333.625</v>
      </c>
      <c r="I16">
        <v>6.375</v>
      </c>
    </row>
    <row r="17" spans="1:9" x14ac:dyDescent="0.3">
      <c r="A17" t="s">
        <v>81</v>
      </c>
      <c r="B17" t="s">
        <v>133</v>
      </c>
      <c r="C17">
        <v>308</v>
      </c>
      <c r="D17">
        <v>88.125</v>
      </c>
      <c r="E17">
        <v>54.875</v>
      </c>
      <c r="F17">
        <v>54.875</v>
      </c>
      <c r="G17">
        <v>54.875</v>
      </c>
      <c r="H17">
        <v>252.75</v>
      </c>
      <c r="I17">
        <v>55.25</v>
      </c>
    </row>
    <row r="19" spans="1:9" x14ac:dyDescent="0.3">
      <c r="C19">
        <v>6456</v>
      </c>
      <c r="H19">
        <v>6267.75</v>
      </c>
      <c r="I19">
        <v>188.25</v>
      </c>
    </row>
    <row r="20" spans="1:9" x14ac:dyDescent="0.3">
      <c r="I20" s="32">
        <v>2.92E-2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sivasakthivel velchamy</cp:lastModifiedBy>
  <cp:lastPrinted>2022-06-08T05:42:53Z</cp:lastPrinted>
  <dcterms:created xsi:type="dcterms:W3CDTF">2015-06-05T18:17:20Z</dcterms:created>
  <dcterms:modified xsi:type="dcterms:W3CDTF">2024-02-01T06:19:43Z</dcterms:modified>
</cp:coreProperties>
</file>