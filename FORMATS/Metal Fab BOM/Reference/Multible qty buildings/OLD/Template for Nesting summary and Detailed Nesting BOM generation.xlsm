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VAS-1\Dropbox\FBD\IMP E-Mails and Information\STANDARDS\FORMATS\Metal Fab BOM\Multible qty buildings\"/>
    </mc:Choice>
  </mc:AlternateContent>
  <xr:revisionPtr revIDLastSave="0" documentId="13_ncr:1_{20B39ADE-AAB7-4A27-996D-EFC012C1EF75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Sheet2" sheetId="1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15" l="1"/>
  <c r="B46" i="15"/>
  <c r="B47" i="15"/>
  <c r="B48" i="15"/>
  <c r="B49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D3" i="15"/>
  <c r="D2" i="15"/>
</calcChain>
</file>

<file path=xl/sharedStrings.xml><?xml version="1.0" encoding="utf-8"?>
<sst xmlns="http://schemas.openxmlformats.org/spreadsheetml/2006/main" count="328" uniqueCount="160">
  <si>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</si>
  <si>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</si>
  <si>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</si>
  <si>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</si>
  <si>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</si>
  <si>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</si>
  <si>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</si>
  <si>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</si>
  <si>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</si>
  <si>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</si>
  <si>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</si>
  <si>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</si>
  <si>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</si>
  <si>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</si>
  <si>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</si>
  <si>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</si>
  <si>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</si>
  <si>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</si>
  <si>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</si>
  <si>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</si>
  <si>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</si>
  <si>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</si>
  <si>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</si>
  <si>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</si>
  <si>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</si>
  <si>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</si>
  <si>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</si>
  <si>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</si>
  <si>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</si>
  <si>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</si>
  <si>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</si>
  <si>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</si>
  <si>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</si>
  <si>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</si>
  <si>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</si>
  <si>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</si>
  <si>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</si>
  <si>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</si>
  <si>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</si>
  <si>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</si>
  <si>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</si>
  <si>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</si>
  <si>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</si>
  <si>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</si>
  <si>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</si>
  <si>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</si>
  <si>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</si>
  <si>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</si>
  <si>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</si>
  <si>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</si>
  <si>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</si>
  <si>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</si>
  <si>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</si>
  <si>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</si>
  <si>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</si>
  <si>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</si>
  <si>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</si>
  <si>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</si>
  <si>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</si>
  <si>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</si>
  <si>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</si>
  <si>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</si>
  <si>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</si>
  <si>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</si>
  <si>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</si>
  <si>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</si>
  <si>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</si>
  <si>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</si>
  <si>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</si>
  <si>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</si>
  <si>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</si>
  <si>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</si>
  <si>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</si>
  <si>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</si>
  <si>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</si>
  <si>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</si>
  <si>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</si>
  <si>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</si>
  <si>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</si>
  <si>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</si>
  <si>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</si>
  <si>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</si>
  <si>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</si>
  <si>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</si>
  <si>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</si>
  <si>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</si>
  <si>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</si>
  <si>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</si>
  <si>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</si>
  <si>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</si>
  <si>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</si>
  <si>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</si>
  <si>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</si>
  <si>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</si>
  <si>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</si>
  <si>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</si>
  <si>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</si>
  <si>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</si>
  <si>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</si>
  <si>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</si>
  <si>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</si>
  <si>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</si>
  <si>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</si>
  <si>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</si>
  <si>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</si>
  <si>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</si>
  <si>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</si>
  <si>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</si>
  <si>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</si>
  <si>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</si>
  <si>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</si>
  <si>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</si>
  <si>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</si>
  <si>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</si>
  <si>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</si>
  <si>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</si>
  <si>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</si>
  <si>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</si>
  <si>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</si>
  <si>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</si>
  <si>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</si>
  <si>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</si>
  <si>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</si>
  <si>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</si>
  <si>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</si>
  <si>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</si>
  <si>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</si>
  <si>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</si>
  <si>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</si>
  <si>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D</t>
  </si>
  <si>
    <t>A</t>
  </si>
  <si>
    <t>B</t>
  </si>
  <si>
    <t>C</t>
  </si>
  <si>
    <t>804-05137</t>
  </si>
  <si>
    <t>W24x84</t>
  </si>
  <si>
    <t>804-05136</t>
  </si>
  <si>
    <t>Beam-W24x84.0 lb/ft</t>
  </si>
  <si>
    <t>804-05138</t>
  </si>
  <si>
    <t>HSS3X3X3/8</t>
  </si>
  <si>
    <t>218 1/2"</t>
  </si>
  <si>
    <t>180 3/8"</t>
  </si>
  <si>
    <t>140 3/8"</t>
  </si>
  <si>
    <t>139 3/8"</t>
  </si>
  <si>
    <t>111 3/8"</t>
  </si>
  <si>
    <t>88 1/8"</t>
  </si>
  <si>
    <t>78 7/8"</t>
  </si>
  <si>
    <t>72 3/8"</t>
  </si>
  <si>
    <t>54 7/8"</t>
  </si>
  <si>
    <t>20 5/8"</t>
  </si>
  <si>
    <t>815 1/2"</t>
  </si>
  <si>
    <t>35 1/2"</t>
  </si>
  <si>
    <t>26 1/2"</t>
  </si>
  <si>
    <t>815 3/4"</t>
  </si>
  <si>
    <t>151 5/8"</t>
  </si>
  <si>
    <t>146 5/8"</t>
  </si>
  <si>
    <t>144 3/8"</t>
  </si>
  <si>
    <t>149 3/8"</t>
  </si>
  <si>
    <t>13 3/8"</t>
  </si>
  <si>
    <t>8 3/8"</t>
  </si>
  <si>
    <t>6"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</si>
</sst>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3">
    <xf numFmtId="0" fontId="0" fillId="0" borderId="0"/>
    <xf numFmtId="0" fontId="7" fillId="0" borderId="0"/>
    <xf numFmtId="0" fontId="8" fillId="0" borderId="0"/>
  </cellStyleXfs>
  <cellXfs count="2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6" fillId="0" borderId="0" xfId="0" applyFon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2" fillId="5" borderId="2" xfId="1" applyFont="1" applyFill="1" applyBorder="1" applyAlignment="1">
      <alignment horizontal="left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left" vertical="center"/>
    </xf>
    <xf numFmtId="12" fontId="2" fillId="0" borderId="2" xfId="0" applyNumberFormat="1" applyFont="1" applyBorder="1" applyAlignment="1">
      <alignment horizontal="left" vertical="center"/>
    </xf>
    <xf numFmtId="2" fontId="6" fillId="0" borderId="0" xfId="0" applyNumberFormat="1" applyFont="1"/>
    <xf numFmtId="12" fontId="2" fillId="5" borderId="2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2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42" totalsRowShown="0">
  <autoFilter ref="A4:K42" xr:uid="{CDF9619B-F0E7-490D-BEFA-727196256470}"/>
  <tableColumns count="11">
    <tableColumn id="1" xr3:uid="{4774FE6E-D79F-4E40-98D1-FE10D40ABC07}" name="SL. NO." dataDxfId="20"/>
    <tableColumn id="2" xr3:uid="{9884691F-0A0D-47CB-8EF0-9AE590C29CC9}" name="PART#" dataDxfId="19" dataCellStyle="Normal 2"/>
    <tableColumn id="3" xr3:uid="{3868E0BB-A494-4109-A7E8-244E1F15175E}" name="LEGEND" dataDxfId="18"/>
    <tableColumn id="4" xr3:uid="{A4F222A3-F838-4FED-8402-8D5E4131929A}" name="ITEM #" dataDxfId="17"/>
    <tableColumn id="5" xr3:uid="{6C82C4FD-0222-4263-8F8F-1DE29AB0E7E9}" name="DESCRIPTION" dataDxfId="16"/>
    <tableColumn id="6" xr3:uid="{74DDC800-B5E7-459A-ABF8-ABAF51A457AC}" name="QTY." dataDxfId="15"/>
    <tableColumn id="7" xr3:uid="{119738FE-8C63-4234-ACE4-FA9F6A046F9C}" name="LENGTH (in.)" dataDxfId="14"/>
    <tableColumn id="8" xr3:uid="{E4370ABC-D39E-4392-8F0E-6B9C56981840}" name="RAW MATERIAL _x000a_NUMBER" dataDxfId="13"/>
    <tableColumn id="9" xr3:uid="{1A2B8888-81A1-4DB4-A951-BBABDB4647C7}" name="SUPPLIER" dataDxfId="12"/>
    <tableColumn id="10" xr3:uid="{709F9ABD-F4C3-4F5E-9F71-D158E141171F}" name="SUB-ASSEMBLY" dataDxfId="11"/>
    <tableColumn id="11" xr3:uid="{047AD226-E9D9-4FBE-A92A-B42E92B0B3A3}" name="REMARKS" dataDxfId="1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2"/>
  <sheetViews>
    <sheetView topLeftCell="A25" zoomScale="115" zoomScaleNormal="115" workbookViewId="0">
      <selection activeCell="I33" sqref="I33"/>
    </sheetView>
  </sheetViews>
  <sheetFormatPr defaultRowHeight="14.4" x14ac:dyDescent="0.3"/>
  <cols>
    <col min="1" max="1" width="15.77734375" style="7" bestFit="1" customWidth="1"/>
    <col min="2" max="2" width="14.5546875" style="8" bestFit="1" customWidth="1"/>
    <col min="3" max="3" width="13.109375" style="7" bestFit="1" customWidth="1"/>
    <col min="4" max="4" width="11.21875" style="7" bestFit="1" customWidth="1"/>
    <col min="5" max="5" width="26.21875" style="7" bestFit="1" customWidth="1"/>
    <col min="6" max="6" width="9.6640625" style="7" bestFit="1" customWidth="1"/>
    <col min="7" max="7" width="13" style="13" bestFit="1" customWidth="1"/>
    <col min="8" max="8" width="14.5546875" style="7" bestFit="1" customWidth="1"/>
    <col min="9" max="9" width="12" style="7" bestFit="1" customWidth="1"/>
    <col min="10" max="10" width="15.33203125" style="7" bestFit="1" customWidth="1"/>
    <col min="11" max="11" width="14.5546875" style="7" bestFit="1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1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1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1" x14ac:dyDescent="0.3">
      <c r="E3" s="9"/>
    </row>
    <row r="4" spans="1:11" ht="39.6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6" t="s">
        <v>13</v>
      </c>
      <c r="I4" s="16" t="s">
        <v>74</v>
      </c>
      <c r="J4" s="16" t="s">
        <v>75</v>
      </c>
      <c r="K4" s="16" t="s">
        <v>76</v>
      </c>
    </row>
    <row r="5" spans="1:11" x14ac:dyDescent="0.3">
      <c r="A5" s="17"/>
      <c r="B5" s="18">
        <v>1474245</v>
      </c>
      <c r="C5" s="19" t="s">
        <v>130</v>
      </c>
      <c r="D5" s="19">
        <v>1</v>
      </c>
      <c r="E5" s="20" t="s">
        <v>80</v>
      </c>
      <c r="F5" s="19">
        <v>3</v>
      </c>
      <c r="G5" s="19" t="s">
        <v>139</v>
      </c>
      <c r="H5" s="20"/>
      <c r="I5" s="17"/>
      <c r="J5" s="17"/>
      <c r="K5" s="17"/>
    </row>
    <row r="6" spans="1:11" x14ac:dyDescent="0.3">
      <c r="A6" s="17"/>
      <c r="B6" s="18">
        <v>1474245</v>
      </c>
      <c r="C6" s="19" t="s">
        <v>130</v>
      </c>
      <c r="D6" s="19">
        <v>2</v>
      </c>
      <c r="E6" s="20" t="s">
        <v>80</v>
      </c>
      <c r="F6" s="19">
        <v>1</v>
      </c>
      <c r="G6" s="19" t="s">
        <v>139</v>
      </c>
      <c r="H6" s="20"/>
      <c r="I6" s="17"/>
      <c r="J6" s="17"/>
      <c r="K6" s="17"/>
    </row>
    <row r="7" spans="1:11" x14ac:dyDescent="0.3">
      <c r="A7" s="17"/>
      <c r="B7" s="18">
        <v>1474245</v>
      </c>
      <c r="C7" s="19" t="s">
        <v>130</v>
      </c>
      <c r="D7" s="19">
        <v>3</v>
      </c>
      <c r="E7" s="20" t="s">
        <v>80</v>
      </c>
      <c r="F7" s="19">
        <v>1</v>
      </c>
      <c r="G7" s="19" t="s">
        <v>139</v>
      </c>
      <c r="H7" s="20"/>
      <c r="I7" s="17"/>
      <c r="J7" s="17"/>
      <c r="K7" s="17"/>
    </row>
    <row r="8" spans="1:11" x14ac:dyDescent="0.3">
      <c r="A8" s="17"/>
      <c r="B8" s="18">
        <v>1474245</v>
      </c>
      <c r="C8" s="19" t="s">
        <v>130</v>
      </c>
      <c r="D8" s="19">
        <v>4</v>
      </c>
      <c r="E8" s="20" t="s">
        <v>80</v>
      </c>
      <c r="F8" s="19">
        <v>1</v>
      </c>
      <c r="G8" s="19" t="s">
        <v>139</v>
      </c>
      <c r="H8" s="20"/>
      <c r="I8" s="17"/>
      <c r="J8" s="17"/>
      <c r="K8" s="17"/>
    </row>
    <row r="9" spans="1:11" x14ac:dyDescent="0.3">
      <c r="A9" s="17"/>
      <c r="B9" s="18">
        <v>1474245</v>
      </c>
      <c r="C9" s="19" t="s">
        <v>130</v>
      </c>
      <c r="D9" s="19">
        <v>5</v>
      </c>
      <c r="E9" s="20" t="s">
        <v>80</v>
      </c>
      <c r="F9" s="19">
        <v>1</v>
      </c>
      <c r="G9" s="19" t="s">
        <v>139</v>
      </c>
      <c r="H9" s="20"/>
      <c r="I9" s="17"/>
      <c r="J9" s="17"/>
      <c r="K9" s="17"/>
    </row>
    <row r="10" spans="1:11" x14ac:dyDescent="0.3">
      <c r="A10" s="17"/>
      <c r="B10" s="18">
        <v>1474245</v>
      </c>
      <c r="C10" s="19" t="s">
        <v>130</v>
      </c>
      <c r="D10" s="19">
        <v>6</v>
      </c>
      <c r="E10" s="20" t="s">
        <v>80</v>
      </c>
      <c r="F10" s="19">
        <v>1</v>
      </c>
      <c r="G10" s="19" t="s">
        <v>139</v>
      </c>
      <c r="H10" s="20"/>
      <c r="I10" s="17"/>
      <c r="J10" s="17"/>
      <c r="K10" s="17"/>
    </row>
    <row r="11" spans="1:11" x14ac:dyDescent="0.3">
      <c r="A11" s="17"/>
      <c r="B11" s="18">
        <v>1474245</v>
      </c>
      <c r="C11" s="19" t="s">
        <v>130</v>
      </c>
      <c r="D11" s="19">
        <v>7</v>
      </c>
      <c r="E11" s="20" t="s">
        <v>80</v>
      </c>
      <c r="F11" s="19">
        <v>1</v>
      </c>
      <c r="G11" s="19" t="s">
        <v>139</v>
      </c>
      <c r="H11" s="20"/>
      <c r="I11" s="17"/>
      <c r="J11" s="17"/>
      <c r="K11" s="17"/>
    </row>
    <row r="12" spans="1:11" x14ac:dyDescent="0.3">
      <c r="A12" s="17"/>
      <c r="B12" s="18">
        <v>1474245</v>
      </c>
      <c r="C12" s="19" t="s">
        <v>131</v>
      </c>
      <c r="D12" s="19">
        <v>8</v>
      </c>
      <c r="E12" s="20" t="s">
        <v>81</v>
      </c>
      <c r="F12" s="19">
        <v>9</v>
      </c>
      <c r="G12" s="19" t="s">
        <v>139</v>
      </c>
      <c r="H12" s="20"/>
      <c r="I12" s="17"/>
      <c r="J12" s="17"/>
      <c r="K12" s="17"/>
    </row>
    <row r="13" spans="1:11" x14ac:dyDescent="0.3">
      <c r="A13" s="17"/>
      <c r="B13" s="18">
        <v>1474245</v>
      </c>
      <c r="C13" s="19" t="s">
        <v>131</v>
      </c>
      <c r="D13" s="19">
        <v>9</v>
      </c>
      <c r="E13" s="20" t="s">
        <v>81</v>
      </c>
      <c r="F13" s="19">
        <v>1</v>
      </c>
      <c r="G13" s="19" t="s">
        <v>139</v>
      </c>
      <c r="H13" s="20"/>
      <c r="I13" s="17"/>
      <c r="J13" s="17"/>
      <c r="K13" s="17"/>
    </row>
    <row r="14" spans="1:11" x14ac:dyDescent="0.3">
      <c r="A14" s="17"/>
      <c r="B14" s="18">
        <v>1474245</v>
      </c>
      <c r="C14" s="19" t="s">
        <v>131</v>
      </c>
      <c r="D14" s="19">
        <v>10</v>
      </c>
      <c r="E14" s="20" t="s">
        <v>81</v>
      </c>
      <c r="F14" s="19">
        <v>1</v>
      </c>
      <c r="G14" s="19" t="s">
        <v>139</v>
      </c>
      <c r="H14" s="20"/>
      <c r="I14" s="17"/>
      <c r="J14" s="17"/>
      <c r="K14" s="17"/>
    </row>
    <row r="15" spans="1:11" x14ac:dyDescent="0.3">
      <c r="A15" s="17"/>
      <c r="B15" s="18">
        <v>1474245</v>
      </c>
      <c r="C15" s="19" t="s">
        <v>131</v>
      </c>
      <c r="D15" s="19">
        <v>11</v>
      </c>
      <c r="E15" s="20" t="s">
        <v>81</v>
      </c>
      <c r="F15" s="19">
        <v>1</v>
      </c>
      <c r="G15" s="19" t="s">
        <v>139</v>
      </c>
      <c r="H15" s="20"/>
      <c r="I15" s="17"/>
      <c r="J15" s="17"/>
      <c r="K15" s="17"/>
    </row>
    <row r="16" spans="1:11" x14ac:dyDescent="0.3">
      <c r="A16" s="17"/>
      <c r="B16" s="18">
        <v>1474245</v>
      </c>
      <c r="C16" s="19" t="s">
        <v>131</v>
      </c>
      <c r="D16" s="19">
        <v>12</v>
      </c>
      <c r="E16" s="20" t="s">
        <v>81</v>
      </c>
      <c r="F16" s="19">
        <v>2</v>
      </c>
      <c r="G16" s="19" t="s">
        <v>139</v>
      </c>
      <c r="H16" s="20"/>
      <c r="I16" s="17"/>
      <c r="J16" s="17"/>
      <c r="K16" s="17"/>
    </row>
    <row r="17" spans="1:11" x14ac:dyDescent="0.3">
      <c r="A17" s="17"/>
      <c r="B17" s="18">
        <v>1474245</v>
      </c>
      <c r="C17" s="19" t="s">
        <v>131</v>
      </c>
      <c r="D17" s="19">
        <v>13</v>
      </c>
      <c r="E17" s="20" t="s">
        <v>81</v>
      </c>
      <c r="F17" s="19">
        <v>3</v>
      </c>
      <c r="G17" s="19" t="s">
        <v>140</v>
      </c>
      <c r="H17" s="20"/>
      <c r="I17" s="17"/>
      <c r="J17" s="17"/>
      <c r="K17" s="17"/>
    </row>
    <row r="18" spans="1:11" x14ac:dyDescent="0.3">
      <c r="A18" s="17"/>
      <c r="B18" s="18">
        <v>1474245</v>
      </c>
      <c r="C18" s="19" t="s">
        <v>131</v>
      </c>
      <c r="D18" s="19">
        <v>14</v>
      </c>
      <c r="E18" s="20" t="s">
        <v>81</v>
      </c>
      <c r="F18" s="19">
        <v>3</v>
      </c>
      <c r="G18" s="19" t="s">
        <v>141</v>
      </c>
      <c r="H18" s="20"/>
      <c r="I18" s="17"/>
      <c r="J18" s="17"/>
      <c r="K18" s="17"/>
    </row>
    <row r="19" spans="1:11" x14ac:dyDescent="0.3">
      <c r="A19" s="17"/>
      <c r="B19" s="18">
        <v>1474245</v>
      </c>
      <c r="C19" s="19" t="s">
        <v>131</v>
      </c>
      <c r="D19" s="19">
        <v>15</v>
      </c>
      <c r="E19" s="20" t="s">
        <v>81</v>
      </c>
      <c r="F19" s="19">
        <v>7</v>
      </c>
      <c r="G19" s="19" t="s">
        <v>142</v>
      </c>
      <c r="H19" s="20"/>
      <c r="I19" s="17"/>
      <c r="J19" s="17"/>
      <c r="K19" s="17"/>
    </row>
    <row r="20" spans="1:11" x14ac:dyDescent="0.3">
      <c r="A20" s="17"/>
      <c r="B20" s="18">
        <v>1474245</v>
      </c>
      <c r="C20" s="19" t="s">
        <v>131</v>
      </c>
      <c r="D20" s="19">
        <v>16</v>
      </c>
      <c r="E20" s="20" t="s">
        <v>81</v>
      </c>
      <c r="F20" s="19">
        <v>1</v>
      </c>
      <c r="G20" s="19" t="s">
        <v>143</v>
      </c>
      <c r="H20" s="20"/>
      <c r="I20" s="17"/>
      <c r="J20" s="17"/>
      <c r="K20" s="17"/>
    </row>
    <row r="21" spans="1:11" x14ac:dyDescent="0.3">
      <c r="A21" s="17"/>
      <c r="B21" s="18">
        <v>1474245</v>
      </c>
      <c r="C21" s="19" t="s">
        <v>131</v>
      </c>
      <c r="D21" s="19">
        <v>17</v>
      </c>
      <c r="E21" s="20" t="s">
        <v>81</v>
      </c>
      <c r="F21" s="19">
        <v>1</v>
      </c>
      <c r="G21" s="19" t="s">
        <v>143</v>
      </c>
      <c r="H21" s="20"/>
      <c r="I21" s="17"/>
      <c r="J21" s="17"/>
      <c r="K21" s="17"/>
    </row>
    <row r="22" spans="1:11" x14ac:dyDescent="0.3">
      <c r="A22" s="17"/>
      <c r="B22" s="18">
        <v>1474245</v>
      </c>
      <c r="C22" s="19" t="s">
        <v>131</v>
      </c>
      <c r="D22" s="19">
        <v>18</v>
      </c>
      <c r="E22" s="20" t="s">
        <v>81</v>
      </c>
      <c r="F22" s="19">
        <v>1</v>
      </c>
      <c r="G22" s="19" t="s">
        <v>144</v>
      </c>
      <c r="H22" s="20"/>
      <c r="I22" s="17"/>
      <c r="J22" s="17"/>
      <c r="K22" s="17"/>
    </row>
    <row r="23" spans="1:11" x14ac:dyDescent="0.3">
      <c r="A23" s="17"/>
      <c r="B23" s="18">
        <v>1474245</v>
      </c>
      <c r="C23" s="19" t="s">
        <v>131</v>
      </c>
      <c r="D23" s="19">
        <v>19</v>
      </c>
      <c r="E23" s="20" t="s">
        <v>81</v>
      </c>
      <c r="F23" s="19">
        <v>1</v>
      </c>
      <c r="G23" s="19" t="s">
        <v>144</v>
      </c>
      <c r="H23" s="20"/>
      <c r="I23" s="17"/>
      <c r="J23" s="17"/>
      <c r="K23" s="17"/>
    </row>
    <row r="24" spans="1:11" x14ac:dyDescent="0.3">
      <c r="A24" s="17"/>
      <c r="B24" s="18">
        <v>1474245</v>
      </c>
      <c r="C24" s="19" t="s">
        <v>131</v>
      </c>
      <c r="D24" s="19">
        <v>20</v>
      </c>
      <c r="E24" s="20" t="s">
        <v>81</v>
      </c>
      <c r="F24" s="19">
        <v>1</v>
      </c>
      <c r="G24" s="19" t="s">
        <v>145</v>
      </c>
      <c r="H24" s="20"/>
      <c r="I24" s="17"/>
      <c r="J24" s="17"/>
      <c r="K24" s="17"/>
    </row>
    <row r="25" spans="1:11" x14ac:dyDescent="0.3">
      <c r="A25" s="17"/>
      <c r="B25" s="18">
        <v>1474245</v>
      </c>
      <c r="C25" s="19" t="s">
        <v>131</v>
      </c>
      <c r="D25" s="19">
        <v>21</v>
      </c>
      <c r="E25" s="20" t="s">
        <v>81</v>
      </c>
      <c r="F25" s="19">
        <v>1</v>
      </c>
      <c r="G25" s="19" t="s">
        <v>145</v>
      </c>
      <c r="H25" s="20"/>
      <c r="I25" s="17"/>
      <c r="J25" s="17"/>
      <c r="K25" s="17"/>
    </row>
    <row r="26" spans="1:11" x14ac:dyDescent="0.3">
      <c r="A26" s="17"/>
      <c r="B26" s="18">
        <v>1474245</v>
      </c>
      <c r="C26" s="19" t="s">
        <v>131</v>
      </c>
      <c r="D26" s="19">
        <v>22</v>
      </c>
      <c r="E26" s="20" t="s">
        <v>81</v>
      </c>
      <c r="F26" s="19">
        <v>1</v>
      </c>
      <c r="G26" s="19" t="s">
        <v>146</v>
      </c>
      <c r="H26" s="20"/>
      <c r="I26" s="17"/>
      <c r="J26" s="17"/>
      <c r="K26" s="17"/>
    </row>
    <row r="27" spans="1:11" x14ac:dyDescent="0.3">
      <c r="A27" s="17"/>
      <c r="B27" s="18">
        <v>1474245</v>
      </c>
      <c r="C27" s="19" t="s">
        <v>131</v>
      </c>
      <c r="D27" s="19">
        <v>23</v>
      </c>
      <c r="E27" s="20" t="s">
        <v>81</v>
      </c>
      <c r="F27" s="19">
        <v>1</v>
      </c>
      <c r="G27" s="19" t="s">
        <v>146</v>
      </c>
      <c r="H27" s="20"/>
      <c r="I27" s="17"/>
      <c r="J27" s="17"/>
      <c r="K27" s="17"/>
    </row>
    <row r="28" spans="1:11" x14ac:dyDescent="0.3">
      <c r="A28" s="17"/>
      <c r="B28" s="18">
        <v>1474245</v>
      </c>
      <c r="C28" s="19" t="s">
        <v>131</v>
      </c>
      <c r="D28" s="19">
        <v>24</v>
      </c>
      <c r="E28" s="20" t="s">
        <v>81</v>
      </c>
      <c r="F28" s="19">
        <v>10</v>
      </c>
      <c r="G28" s="19" t="s">
        <v>147</v>
      </c>
      <c r="H28" s="20"/>
      <c r="I28" s="17"/>
      <c r="J28" s="17"/>
      <c r="K28" s="17"/>
    </row>
    <row r="29" spans="1:11" x14ac:dyDescent="0.3">
      <c r="A29" s="17"/>
      <c r="B29" s="18">
        <v>1474245</v>
      </c>
      <c r="C29" s="19" t="s">
        <v>131</v>
      </c>
      <c r="D29" s="19">
        <v>25</v>
      </c>
      <c r="E29" s="20" t="s">
        <v>81</v>
      </c>
      <c r="F29" s="19">
        <v>1</v>
      </c>
      <c r="G29" s="19" t="s">
        <v>148</v>
      </c>
      <c r="H29" s="20"/>
      <c r="I29" s="17"/>
      <c r="J29" s="17"/>
      <c r="K29" s="17"/>
    </row>
    <row r="30" spans="1:11" x14ac:dyDescent="0.3">
      <c r="A30" s="17"/>
      <c r="B30" s="18">
        <v>1474245</v>
      </c>
      <c r="C30" s="19" t="s">
        <v>132</v>
      </c>
      <c r="D30" s="19">
        <v>26</v>
      </c>
      <c r="E30" s="20" t="s">
        <v>85</v>
      </c>
      <c r="F30" s="19">
        <v>1</v>
      </c>
      <c r="G30" s="19" t="s">
        <v>149</v>
      </c>
      <c r="H30" s="20"/>
      <c r="I30" s="17"/>
      <c r="J30" s="17"/>
      <c r="K30" s="17"/>
    </row>
    <row r="31" spans="1:11" x14ac:dyDescent="0.3">
      <c r="A31" s="17"/>
      <c r="B31" s="18">
        <v>1474245</v>
      </c>
      <c r="C31" s="19" t="s">
        <v>132</v>
      </c>
      <c r="D31" s="19">
        <v>27</v>
      </c>
      <c r="E31" s="20" t="s">
        <v>85</v>
      </c>
      <c r="F31" s="19">
        <v>1</v>
      </c>
      <c r="G31" s="19" t="s">
        <v>149</v>
      </c>
      <c r="H31" s="20"/>
      <c r="I31" s="17"/>
      <c r="J31" s="17"/>
      <c r="K31" s="17"/>
    </row>
    <row r="32" spans="1:11" x14ac:dyDescent="0.3">
      <c r="A32" s="17"/>
      <c r="B32" s="18">
        <v>1474245</v>
      </c>
      <c r="C32" s="19" t="s">
        <v>129</v>
      </c>
      <c r="D32" s="19">
        <v>28</v>
      </c>
      <c r="E32" s="20" t="s">
        <v>90</v>
      </c>
      <c r="F32" s="19">
        <v>2</v>
      </c>
      <c r="G32" s="19" t="s">
        <v>150</v>
      </c>
      <c r="H32" s="20"/>
      <c r="I32" s="17"/>
      <c r="J32" s="17"/>
      <c r="K32" s="17"/>
    </row>
    <row r="33" spans="1:11" x14ac:dyDescent="0.3">
      <c r="A33" s="17"/>
      <c r="B33" s="18">
        <v>1474245</v>
      </c>
      <c r="C33" s="19" t="s">
        <v>129</v>
      </c>
      <c r="D33" s="19">
        <v>29</v>
      </c>
      <c r="E33" s="20" t="s">
        <v>90</v>
      </c>
      <c r="F33" s="19">
        <v>2</v>
      </c>
      <c r="G33" s="19" t="s">
        <v>151</v>
      </c>
      <c r="H33" s="20"/>
      <c r="I33" s="17"/>
      <c r="J33" s="17"/>
      <c r="K33" s="17"/>
    </row>
    <row r="34" spans="1:11" x14ac:dyDescent="0.3">
      <c r="A34" s="17"/>
      <c r="B34" s="18">
        <v>1410752</v>
      </c>
      <c r="C34" s="19"/>
      <c r="D34" s="19"/>
      <c r="E34" s="20" t="s">
        <v>134</v>
      </c>
      <c r="F34" s="19">
        <v>1</v>
      </c>
      <c r="G34" s="19" t="s">
        <v>152</v>
      </c>
      <c r="H34" s="20"/>
      <c r="I34" s="17"/>
      <c r="J34" s="17"/>
      <c r="K34" s="17"/>
    </row>
    <row r="35" spans="1:11" x14ac:dyDescent="0.3">
      <c r="A35" s="17"/>
      <c r="B35" s="18">
        <v>1410758</v>
      </c>
      <c r="C35" s="19"/>
      <c r="D35" s="19"/>
      <c r="E35" s="20" t="s">
        <v>134</v>
      </c>
      <c r="F35" s="19">
        <v>1</v>
      </c>
      <c r="G35" s="19" t="s">
        <v>152</v>
      </c>
      <c r="H35" s="20"/>
      <c r="I35" s="17"/>
      <c r="J35" s="17"/>
      <c r="K35" s="17"/>
    </row>
    <row r="36" spans="1:11" x14ac:dyDescent="0.3">
      <c r="A36" s="17"/>
      <c r="B36" s="18">
        <v>1410756</v>
      </c>
      <c r="C36" s="19"/>
      <c r="D36" s="19"/>
      <c r="E36" s="20" t="s">
        <v>88</v>
      </c>
      <c r="F36" s="19">
        <v>2</v>
      </c>
      <c r="G36" s="19" t="s">
        <v>153</v>
      </c>
      <c r="H36" s="20"/>
      <c r="I36" s="17"/>
      <c r="J36" s="17"/>
      <c r="K36" s="17"/>
    </row>
    <row r="37" spans="1:11" x14ac:dyDescent="0.3">
      <c r="A37" s="17"/>
      <c r="B37" s="18">
        <v>1410751</v>
      </c>
      <c r="C37" s="19"/>
      <c r="D37" s="19"/>
      <c r="E37" s="20" t="s">
        <v>88</v>
      </c>
      <c r="F37" s="19">
        <v>2</v>
      </c>
      <c r="G37" s="19" t="s">
        <v>154</v>
      </c>
      <c r="H37" s="20"/>
      <c r="I37" s="17"/>
      <c r="J37" s="17"/>
      <c r="K37" s="17"/>
    </row>
    <row r="38" spans="1:11" x14ac:dyDescent="0.3">
      <c r="A38" s="17"/>
      <c r="B38" s="18">
        <v>1410893</v>
      </c>
      <c r="C38" s="19"/>
      <c r="D38" s="19"/>
      <c r="E38" s="20" t="s">
        <v>138</v>
      </c>
      <c r="F38" s="19">
        <v>6</v>
      </c>
      <c r="G38" s="19" t="s">
        <v>155</v>
      </c>
      <c r="H38" s="20"/>
      <c r="I38" s="17"/>
      <c r="J38" s="17"/>
      <c r="K38" s="17"/>
    </row>
    <row r="39" spans="1:11" x14ac:dyDescent="0.3">
      <c r="A39" s="17"/>
      <c r="B39" s="18">
        <v>1410890</v>
      </c>
      <c r="C39" s="19"/>
      <c r="D39" s="19"/>
      <c r="E39" s="20" t="s">
        <v>138</v>
      </c>
      <c r="F39" s="19">
        <v>6</v>
      </c>
      <c r="G39" s="19" t="s">
        <v>156</v>
      </c>
      <c r="H39" s="20"/>
      <c r="I39" s="17"/>
      <c r="J39" s="17"/>
      <c r="K39" s="17"/>
    </row>
    <row r="40" spans="1:11" x14ac:dyDescent="0.3">
      <c r="A40" s="17"/>
      <c r="B40" s="18">
        <v>1410759</v>
      </c>
      <c r="C40" s="19"/>
      <c r="D40" s="19"/>
      <c r="E40" s="20" t="s">
        <v>90</v>
      </c>
      <c r="F40" s="19">
        <v>18</v>
      </c>
      <c r="G40" s="19" t="s">
        <v>157</v>
      </c>
      <c r="H40" s="20"/>
      <c r="I40" s="17"/>
      <c r="J40" s="17"/>
      <c r="K40" s="17"/>
    </row>
    <row r="41" spans="1:11" x14ac:dyDescent="0.3">
      <c r="A41" s="17"/>
      <c r="B41" s="18">
        <v>1410753</v>
      </c>
      <c r="C41" s="19"/>
      <c r="D41" s="19"/>
      <c r="E41" s="20" t="s">
        <v>90</v>
      </c>
      <c r="F41" s="19">
        <v>18</v>
      </c>
      <c r="G41" s="19" t="s">
        <v>158</v>
      </c>
      <c r="H41" s="21"/>
      <c r="I41" s="17"/>
      <c r="J41" s="17"/>
      <c r="K41" s="17"/>
    </row>
    <row r="42" spans="1:11" x14ac:dyDescent="0.3">
      <c r="A42" s="17"/>
      <c r="B42" s="18">
        <v>1493030</v>
      </c>
      <c r="C42" s="19"/>
      <c r="D42" s="19"/>
      <c r="E42" s="20" t="s">
        <v>90</v>
      </c>
      <c r="F42" s="23">
        <v>23</v>
      </c>
      <c r="G42" s="23" t="s">
        <v>159</v>
      </c>
      <c r="H42" s="21"/>
      <c r="I42" s="17"/>
      <c r="J42" s="17"/>
      <c r="K42" s="17"/>
    </row>
  </sheetData>
  <dataConsolidate/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51"/>
  <sheetViews>
    <sheetView tabSelected="1" zoomScale="115" zoomScaleNormal="115"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H34" sqref="H34"/>
    </sheetView>
  </sheetViews>
  <sheetFormatPr defaultColWidth="8.88671875" defaultRowHeight="10.199999999999999" x14ac:dyDescent="0.2"/>
  <cols>
    <col min="1" max="1" width="13" style="15" customWidth="1"/>
    <col min="2" max="2" width="10.6640625" style="15" bestFit="1" customWidth="1"/>
    <col min="3" max="3" width="9.6640625" style="15" bestFit="1" customWidth="1"/>
    <col min="4" max="4" width="7.44140625" style="15" bestFit="1" customWidth="1"/>
    <col min="5" max="5" width="4.44140625" style="15" bestFit="1" customWidth="1"/>
    <col min="6" max="6" width="47.88671875" style="15" bestFit="1" customWidth="1"/>
    <col min="7" max="16384" width="8.88671875" style="15"/>
  </cols>
  <sheetData>
    <row r="1" spans="1:6" x14ac:dyDescent="0.2">
      <c r="A1" s="15" t="s">
        <v>68</v>
      </c>
      <c r="B1" s="15" t="s">
        <v>69</v>
      </c>
      <c r="C1" s="15" t="s">
        <v>70</v>
      </c>
      <c r="D1" s="15" t="s">
        <v>71</v>
      </c>
      <c r="E1" s="15" t="s">
        <v>72</v>
      </c>
      <c r="F1" s="15" t="s">
        <v>73</v>
      </c>
    </row>
    <row r="2" spans="1:6" x14ac:dyDescent="0.2">
      <c r="A2" s="15" t="s">
        <v>60</v>
      </c>
      <c r="B2" s="15">
        <v>480</v>
      </c>
      <c r="C2" s="15" t="s">
        <v>16</v>
      </c>
      <c r="D2" s="15">
        <f>B2/12</f>
        <v>40</v>
      </c>
      <c r="E2" s="15" t="s">
        <v>18</v>
      </c>
      <c r="F2" s="15" t="s">
        <v>17</v>
      </c>
    </row>
    <row r="3" spans="1:6" x14ac:dyDescent="0.2">
      <c r="A3" s="15" t="s">
        <v>82</v>
      </c>
      <c r="B3" s="15">
        <v>600</v>
      </c>
      <c r="C3" s="15" t="s">
        <v>19</v>
      </c>
      <c r="D3" s="15">
        <f t="shared" ref="D3:D44" si="0">B3/12</f>
        <v>50</v>
      </c>
      <c r="E3" s="15" t="s">
        <v>18</v>
      </c>
      <c r="F3" s="15" t="s">
        <v>20</v>
      </c>
    </row>
    <row r="4" spans="1:6" x14ac:dyDescent="0.2">
      <c r="A4" s="15" t="s">
        <v>83</v>
      </c>
      <c r="B4" s="15">
        <v>480</v>
      </c>
      <c r="C4" s="15" t="s">
        <v>21</v>
      </c>
      <c r="D4" s="15">
        <f t="shared" si="0"/>
        <v>40</v>
      </c>
      <c r="E4" s="15" t="s">
        <v>18</v>
      </c>
      <c r="F4" s="15" t="s">
        <v>22</v>
      </c>
    </row>
    <row r="5" spans="1:6" x14ac:dyDescent="0.2">
      <c r="A5" s="15" t="s">
        <v>81</v>
      </c>
      <c r="B5" s="15">
        <v>764</v>
      </c>
      <c r="C5" s="15" t="s">
        <v>111</v>
      </c>
      <c r="D5" s="22">
        <f t="shared" si="0"/>
        <v>63.666666666666664</v>
      </c>
      <c r="E5" s="15" t="s">
        <v>18</v>
      </c>
      <c r="F5" s="15" t="s">
        <v>24</v>
      </c>
    </row>
    <row r="6" spans="1:6" x14ac:dyDescent="0.2">
      <c r="A6" s="15" t="s">
        <v>81</v>
      </c>
      <c r="B6" s="15">
        <v>728</v>
      </c>
      <c r="C6" s="15" t="s">
        <v>112</v>
      </c>
      <c r="D6" s="22">
        <f t="shared" si="0"/>
        <v>60.666666666666664</v>
      </c>
      <c r="E6" s="15" t="s">
        <v>18</v>
      </c>
      <c r="F6" s="15" t="s">
        <v>24</v>
      </c>
    </row>
    <row r="7" spans="1:6" x14ac:dyDescent="0.2">
      <c r="A7" s="15" t="s">
        <v>81</v>
      </c>
      <c r="B7" s="15">
        <v>688</v>
      </c>
      <c r="C7" s="15" t="s">
        <v>113</v>
      </c>
      <c r="D7" s="22">
        <f t="shared" si="0"/>
        <v>57.333333333333336</v>
      </c>
      <c r="E7" s="15" t="s">
        <v>18</v>
      </c>
      <c r="F7" s="15" t="s">
        <v>24</v>
      </c>
    </row>
    <row r="8" spans="1:6" x14ac:dyDescent="0.2">
      <c r="A8" s="15" t="s">
        <v>81</v>
      </c>
      <c r="B8" s="15">
        <v>600</v>
      </c>
      <c r="C8" s="15" t="s">
        <v>23</v>
      </c>
      <c r="D8" s="15">
        <f t="shared" si="0"/>
        <v>50</v>
      </c>
      <c r="E8" s="15" t="s">
        <v>18</v>
      </c>
      <c r="F8" s="15" t="s">
        <v>24</v>
      </c>
    </row>
    <row r="9" spans="1:6" x14ac:dyDescent="0.2">
      <c r="A9" s="15" t="s">
        <v>81</v>
      </c>
      <c r="B9" s="15">
        <v>604</v>
      </c>
      <c r="C9" s="15" t="s">
        <v>114</v>
      </c>
      <c r="D9" s="22">
        <f t="shared" si="0"/>
        <v>50.333333333333336</v>
      </c>
      <c r="E9" s="15" t="s">
        <v>18</v>
      </c>
      <c r="F9" s="15" t="s">
        <v>24</v>
      </c>
    </row>
    <row r="10" spans="1:6" x14ac:dyDescent="0.2">
      <c r="A10" s="15" t="s">
        <v>81</v>
      </c>
      <c r="B10" s="15">
        <v>340</v>
      </c>
      <c r="C10" s="15" t="s">
        <v>115</v>
      </c>
      <c r="D10" s="22">
        <f t="shared" si="0"/>
        <v>28.333333333333332</v>
      </c>
      <c r="E10" s="15" t="s">
        <v>18</v>
      </c>
      <c r="F10" s="15" t="s">
        <v>24</v>
      </c>
    </row>
    <row r="11" spans="1:6" x14ac:dyDescent="0.2">
      <c r="A11" s="15" t="s">
        <v>81</v>
      </c>
      <c r="B11" s="15">
        <v>332</v>
      </c>
      <c r="C11" s="15" t="s">
        <v>116</v>
      </c>
      <c r="D11" s="22">
        <f t="shared" si="0"/>
        <v>27.666666666666668</v>
      </c>
      <c r="E11" s="15" t="s">
        <v>18</v>
      </c>
      <c r="F11" s="15" t="s">
        <v>24</v>
      </c>
    </row>
    <row r="12" spans="1:6" x14ac:dyDescent="0.2">
      <c r="A12" s="15" t="s">
        <v>81</v>
      </c>
      <c r="B12" s="15">
        <v>308</v>
      </c>
      <c r="C12" s="15" t="s">
        <v>117</v>
      </c>
      <c r="D12" s="22">
        <f t="shared" si="0"/>
        <v>25.666666666666668</v>
      </c>
      <c r="E12" s="15" t="s">
        <v>18</v>
      </c>
      <c r="F12" s="15" t="s">
        <v>24</v>
      </c>
    </row>
    <row r="13" spans="1:6" x14ac:dyDescent="0.2">
      <c r="A13" s="15" t="s">
        <v>80</v>
      </c>
      <c r="B13" s="15">
        <v>720</v>
      </c>
      <c r="C13" s="15" t="s">
        <v>14</v>
      </c>
      <c r="D13" s="15">
        <f t="shared" si="0"/>
        <v>60</v>
      </c>
      <c r="E13" s="15" t="s">
        <v>18</v>
      </c>
      <c r="F13" s="15" t="s">
        <v>25</v>
      </c>
    </row>
    <row r="14" spans="1:6" x14ac:dyDescent="0.2">
      <c r="A14" s="15" t="s">
        <v>80</v>
      </c>
      <c r="B14" s="15">
        <v>700</v>
      </c>
      <c r="C14" s="15" t="s">
        <v>118</v>
      </c>
      <c r="D14" s="22">
        <f t="shared" si="0"/>
        <v>58.333333333333336</v>
      </c>
      <c r="E14" s="15" t="s">
        <v>18</v>
      </c>
      <c r="F14" s="15" t="s">
        <v>25</v>
      </c>
    </row>
    <row r="15" spans="1:6" x14ac:dyDescent="0.2">
      <c r="A15" s="15" t="s">
        <v>80</v>
      </c>
      <c r="B15" s="15">
        <v>816</v>
      </c>
      <c r="C15" s="15" t="s">
        <v>133</v>
      </c>
      <c r="D15" s="22">
        <f t="shared" si="0"/>
        <v>68</v>
      </c>
      <c r="E15" s="15" t="s">
        <v>18</v>
      </c>
      <c r="F15" s="15" t="s">
        <v>25</v>
      </c>
    </row>
    <row r="16" spans="1:6" x14ac:dyDescent="0.2">
      <c r="A16" s="15" t="s">
        <v>134</v>
      </c>
      <c r="B16" s="15">
        <v>816</v>
      </c>
      <c r="C16" s="15" t="s">
        <v>135</v>
      </c>
      <c r="D16" s="22">
        <f t="shared" si="0"/>
        <v>68</v>
      </c>
      <c r="E16" s="15" t="s">
        <v>18</v>
      </c>
      <c r="F16" s="15" t="s">
        <v>136</v>
      </c>
    </row>
    <row r="17" spans="1:6" x14ac:dyDescent="0.2">
      <c r="A17" s="15" t="s">
        <v>61</v>
      </c>
      <c r="B17" s="15">
        <v>804</v>
      </c>
      <c r="C17" s="15" t="s">
        <v>119</v>
      </c>
      <c r="D17" s="15">
        <f t="shared" si="0"/>
        <v>67</v>
      </c>
      <c r="E17" s="15" t="s">
        <v>18</v>
      </c>
      <c r="F17" s="15" t="s">
        <v>27</v>
      </c>
    </row>
    <row r="18" spans="1:6" x14ac:dyDescent="0.2">
      <c r="A18" s="15" t="s">
        <v>61</v>
      </c>
      <c r="B18" s="15">
        <v>756</v>
      </c>
      <c r="C18" s="15" t="s">
        <v>120</v>
      </c>
      <c r="D18" s="15">
        <f t="shared" si="0"/>
        <v>63</v>
      </c>
      <c r="E18" s="15" t="s">
        <v>18</v>
      </c>
      <c r="F18" s="15" t="s">
        <v>27</v>
      </c>
    </row>
    <row r="19" spans="1:6" x14ac:dyDescent="0.2">
      <c r="A19" s="15" t="s">
        <v>61</v>
      </c>
      <c r="B19" s="15">
        <v>732</v>
      </c>
      <c r="C19" s="15" t="s">
        <v>121</v>
      </c>
      <c r="D19" s="15">
        <f t="shared" si="0"/>
        <v>61</v>
      </c>
      <c r="E19" s="15" t="s">
        <v>18</v>
      </c>
      <c r="F19" s="15" t="s">
        <v>27</v>
      </c>
    </row>
    <row r="20" spans="1:6" x14ac:dyDescent="0.2">
      <c r="A20" s="15" t="s">
        <v>61</v>
      </c>
      <c r="B20" s="15">
        <v>720</v>
      </c>
      <c r="C20" s="15" t="s">
        <v>26</v>
      </c>
      <c r="D20" s="15">
        <f t="shared" si="0"/>
        <v>60</v>
      </c>
      <c r="E20" s="15" t="s">
        <v>18</v>
      </c>
      <c r="F20" s="15" t="s">
        <v>27</v>
      </c>
    </row>
    <row r="21" spans="1:6" x14ac:dyDescent="0.2">
      <c r="A21" s="15" t="s">
        <v>61</v>
      </c>
      <c r="B21" s="15">
        <v>692</v>
      </c>
      <c r="C21" s="15" t="s">
        <v>122</v>
      </c>
      <c r="D21" s="22">
        <f t="shared" si="0"/>
        <v>57.666666666666664</v>
      </c>
      <c r="E21" s="15" t="s">
        <v>18</v>
      </c>
      <c r="F21" s="15" t="s">
        <v>27</v>
      </c>
    </row>
    <row r="22" spans="1:6" x14ac:dyDescent="0.2">
      <c r="A22" s="15" t="s">
        <v>61</v>
      </c>
      <c r="B22" s="15">
        <v>672</v>
      </c>
      <c r="C22" s="15" t="s">
        <v>123</v>
      </c>
      <c r="D22" s="15">
        <f t="shared" si="0"/>
        <v>56</v>
      </c>
      <c r="E22" s="15" t="s">
        <v>18</v>
      </c>
      <c r="F22" s="15" t="s">
        <v>27</v>
      </c>
    </row>
    <row r="23" spans="1:6" x14ac:dyDescent="0.2">
      <c r="A23" s="15" t="s">
        <v>61</v>
      </c>
      <c r="B23" s="15">
        <v>580</v>
      </c>
      <c r="C23" s="15" t="s">
        <v>124</v>
      </c>
      <c r="D23" s="22">
        <f t="shared" si="0"/>
        <v>48.333333333333336</v>
      </c>
      <c r="E23" s="15" t="s">
        <v>18</v>
      </c>
      <c r="F23" s="15" t="s">
        <v>27</v>
      </c>
    </row>
    <row r="24" spans="1:6" x14ac:dyDescent="0.2">
      <c r="A24" s="15" t="s">
        <v>61</v>
      </c>
      <c r="B24" s="15">
        <v>568</v>
      </c>
      <c r="C24" s="15" t="s">
        <v>125</v>
      </c>
      <c r="D24" s="22">
        <f t="shared" si="0"/>
        <v>47.333333333333336</v>
      </c>
      <c r="E24" s="15" t="s">
        <v>18</v>
      </c>
      <c r="F24" s="15" t="s">
        <v>27</v>
      </c>
    </row>
    <row r="25" spans="1:6" x14ac:dyDescent="0.2">
      <c r="A25" s="15" t="s">
        <v>61</v>
      </c>
      <c r="B25" s="15">
        <v>460</v>
      </c>
      <c r="C25" s="15" t="s">
        <v>126</v>
      </c>
      <c r="D25" s="22">
        <f t="shared" si="0"/>
        <v>38.333333333333336</v>
      </c>
      <c r="E25" s="15" t="s">
        <v>18</v>
      </c>
      <c r="F25" s="15" t="s">
        <v>27</v>
      </c>
    </row>
    <row r="26" spans="1:6" x14ac:dyDescent="0.2">
      <c r="A26" s="15" t="s">
        <v>61</v>
      </c>
      <c r="B26" s="15">
        <v>440</v>
      </c>
      <c r="C26" s="15" t="s">
        <v>127</v>
      </c>
      <c r="D26" s="22">
        <f t="shared" si="0"/>
        <v>36.666666666666664</v>
      </c>
      <c r="E26" s="15" t="s">
        <v>18</v>
      </c>
      <c r="F26" s="15" t="s">
        <v>27</v>
      </c>
    </row>
    <row r="27" spans="1:6" x14ac:dyDescent="0.2">
      <c r="A27" s="15" t="s">
        <v>61</v>
      </c>
      <c r="B27" s="15">
        <v>424</v>
      </c>
      <c r="C27" s="15" t="s">
        <v>128</v>
      </c>
      <c r="D27" s="22">
        <f t="shared" si="0"/>
        <v>35.333333333333336</v>
      </c>
      <c r="E27" s="15" t="s">
        <v>18</v>
      </c>
      <c r="F27" s="15" t="s">
        <v>27</v>
      </c>
    </row>
    <row r="28" spans="1:6" x14ac:dyDescent="0.2">
      <c r="A28" s="15" t="s">
        <v>62</v>
      </c>
      <c r="B28" s="15">
        <v>480</v>
      </c>
      <c r="C28" s="15" t="s">
        <v>28</v>
      </c>
      <c r="D28" s="15">
        <f t="shared" si="0"/>
        <v>40</v>
      </c>
      <c r="E28" s="15" t="s">
        <v>18</v>
      </c>
      <c r="F28" s="15" t="s">
        <v>29</v>
      </c>
    </row>
    <row r="29" spans="1:6" x14ac:dyDescent="0.2">
      <c r="A29" s="15" t="s">
        <v>84</v>
      </c>
      <c r="B29" s="15">
        <v>480</v>
      </c>
      <c r="C29" s="15" t="s">
        <v>30</v>
      </c>
      <c r="D29" s="15">
        <f t="shared" si="0"/>
        <v>40</v>
      </c>
      <c r="E29" s="15" t="s">
        <v>18</v>
      </c>
      <c r="F29" s="15" t="s">
        <v>31</v>
      </c>
    </row>
    <row r="30" spans="1:6" x14ac:dyDescent="0.2">
      <c r="A30" s="15" t="s">
        <v>63</v>
      </c>
      <c r="B30" s="15">
        <v>480</v>
      </c>
      <c r="C30" s="15" t="s">
        <v>32</v>
      </c>
      <c r="D30" s="15">
        <f t="shared" si="0"/>
        <v>40</v>
      </c>
      <c r="E30" s="15" t="s">
        <v>18</v>
      </c>
      <c r="F30" s="15" t="s">
        <v>33</v>
      </c>
    </row>
    <row r="31" spans="1:6" x14ac:dyDescent="0.2">
      <c r="A31" s="15" t="s">
        <v>64</v>
      </c>
      <c r="B31" s="15">
        <v>600</v>
      </c>
      <c r="C31" s="15" t="s">
        <v>15</v>
      </c>
      <c r="D31" s="15">
        <f t="shared" si="0"/>
        <v>50</v>
      </c>
      <c r="E31" s="15" t="s">
        <v>18</v>
      </c>
      <c r="F31" s="15" t="s">
        <v>34</v>
      </c>
    </row>
    <row r="32" spans="1:6" x14ac:dyDescent="0.2">
      <c r="A32" s="15" t="s">
        <v>79</v>
      </c>
      <c r="B32" s="15">
        <v>480</v>
      </c>
      <c r="C32" s="15" t="s">
        <v>35</v>
      </c>
      <c r="D32" s="15">
        <f t="shared" si="0"/>
        <v>40</v>
      </c>
      <c r="E32" s="15" t="s">
        <v>18</v>
      </c>
      <c r="F32" s="15" t="s">
        <v>36</v>
      </c>
    </row>
    <row r="33" spans="1:6" x14ac:dyDescent="0.2">
      <c r="A33" s="15" t="s">
        <v>65</v>
      </c>
      <c r="B33" s="15">
        <v>480</v>
      </c>
      <c r="C33" s="15" t="s">
        <v>37</v>
      </c>
      <c r="D33" s="15">
        <f t="shared" si="0"/>
        <v>40</v>
      </c>
      <c r="E33" s="15" t="s">
        <v>18</v>
      </c>
      <c r="F33" s="15" t="s">
        <v>38</v>
      </c>
    </row>
    <row r="34" spans="1:6" x14ac:dyDescent="0.2">
      <c r="A34" s="15" t="s">
        <v>66</v>
      </c>
      <c r="B34" s="15">
        <v>480</v>
      </c>
      <c r="C34" s="15" t="s">
        <v>39</v>
      </c>
      <c r="D34" s="15">
        <f t="shared" si="0"/>
        <v>40</v>
      </c>
      <c r="E34" s="15" t="s">
        <v>18</v>
      </c>
      <c r="F34" s="15" t="s">
        <v>40</v>
      </c>
    </row>
    <row r="35" spans="1:6" x14ac:dyDescent="0.2">
      <c r="A35" s="15" t="s">
        <v>85</v>
      </c>
      <c r="B35" s="15">
        <v>720</v>
      </c>
      <c r="C35" s="15" t="s">
        <v>41</v>
      </c>
      <c r="D35" s="15">
        <f t="shared" si="0"/>
        <v>60</v>
      </c>
      <c r="E35" s="15" t="s">
        <v>18</v>
      </c>
      <c r="F35" s="15" t="s">
        <v>42</v>
      </c>
    </row>
    <row r="36" spans="1:6" x14ac:dyDescent="0.2">
      <c r="A36" s="15" t="s">
        <v>85</v>
      </c>
      <c r="B36" s="15">
        <v>816</v>
      </c>
      <c r="C36" s="15" t="s">
        <v>137</v>
      </c>
      <c r="D36" s="15">
        <f t="shared" si="0"/>
        <v>68</v>
      </c>
      <c r="E36" s="15" t="s">
        <v>18</v>
      </c>
      <c r="F36" s="15" t="s">
        <v>42</v>
      </c>
    </row>
    <row r="37" spans="1:6" x14ac:dyDescent="0.2">
      <c r="A37" s="15" t="s">
        <v>67</v>
      </c>
      <c r="B37" s="15">
        <v>720</v>
      </c>
      <c r="C37" s="15" t="s">
        <v>43</v>
      </c>
      <c r="D37" s="15">
        <f t="shared" si="0"/>
        <v>60</v>
      </c>
      <c r="E37" s="15" t="s">
        <v>18</v>
      </c>
      <c r="F37" s="15" t="s">
        <v>44</v>
      </c>
    </row>
    <row r="38" spans="1:6" x14ac:dyDescent="0.2">
      <c r="A38" s="15" t="s">
        <v>78</v>
      </c>
      <c r="B38" s="15">
        <v>240</v>
      </c>
      <c r="C38" s="15" t="s">
        <v>45</v>
      </c>
      <c r="D38" s="15">
        <f t="shared" si="0"/>
        <v>20</v>
      </c>
      <c r="E38" s="15" t="s">
        <v>18</v>
      </c>
      <c r="F38" s="15" t="s">
        <v>46</v>
      </c>
    </row>
    <row r="39" spans="1:6" x14ac:dyDescent="0.2">
      <c r="A39" s="15" t="s">
        <v>77</v>
      </c>
      <c r="B39" s="15">
        <v>240</v>
      </c>
      <c r="C39" s="15" t="s">
        <v>47</v>
      </c>
      <c r="D39" s="15">
        <f t="shared" si="0"/>
        <v>20</v>
      </c>
      <c r="E39" s="15" t="s">
        <v>18</v>
      </c>
      <c r="F39" s="15" t="s">
        <v>48</v>
      </c>
    </row>
    <row r="40" spans="1:6" x14ac:dyDescent="0.2">
      <c r="A40" s="15" t="s">
        <v>91</v>
      </c>
      <c r="B40" s="15">
        <v>576</v>
      </c>
      <c r="C40" s="15" t="s">
        <v>49</v>
      </c>
      <c r="D40" s="15">
        <f t="shared" si="0"/>
        <v>48</v>
      </c>
      <c r="E40" s="15" t="s">
        <v>18</v>
      </c>
      <c r="F40" s="15" t="s">
        <v>50</v>
      </c>
    </row>
    <row r="41" spans="1:6" x14ac:dyDescent="0.2">
      <c r="A41" s="15" t="s">
        <v>86</v>
      </c>
      <c r="B41" s="15">
        <v>480</v>
      </c>
      <c r="C41" s="15" t="s">
        <v>51</v>
      </c>
      <c r="D41" s="15">
        <f t="shared" si="0"/>
        <v>40</v>
      </c>
      <c r="E41" s="15" t="s">
        <v>18</v>
      </c>
      <c r="F41" s="15" t="s">
        <v>52</v>
      </c>
    </row>
    <row r="42" spans="1:6" x14ac:dyDescent="0.2">
      <c r="A42" s="15" t="s">
        <v>88</v>
      </c>
      <c r="B42" s="15">
        <v>480</v>
      </c>
      <c r="C42" s="15" t="s">
        <v>53</v>
      </c>
      <c r="D42" s="15">
        <f t="shared" si="0"/>
        <v>40</v>
      </c>
      <c r="E42" s="15" t="s">
        <v>18</v>
      </c>
      <c r="F42" s="15" t="s">
        <v>54</v>
      </c>
    </row>
    <row r="43" spans="1:6" x14ac:dyDescent="0.2">
      <c r="A43" s="15" t="s">
        <v>87</v>
      </c>
      <c r="B43" s="15">
        <v>576</v>
      </c>
      <c r="C43" s="15" t="s">
        <v>55</v>
      </c>
      <c r="D43" s="15">
        <f t="shared" si="0"/>
        <v>48</v>
      </c>
      <c r="E43" s="15" t="s">
        <v>18</v>
      </c>
      <c r="F43" s="15" t="s">
        <v>56</v>
      </c>
    </row>
    <row r="44" spans="1:6" x14ac:dyDescent="0.2">
      <c r="A44" s="15" t="s">
        <v>89</v>
      </c>
      <c r="B44" s="15">
        <v>240</v>
      </c>
      <c r="C44" s="15" t="s">
        <v>57</v>
      </c>
      <c r="D44" s="15">
        <f t="shared" si="0"/>
        <v>20</v>
      </c>
      <c r="E44" s="15" t="s">
        <v>18</v>
      </c>
      <c r="F44" s="15" t="s">
        <v>92</v>
      </c>
    </row>
    <row r="45" spans="1:6" x14ac:dyDescent="0.2">
      <c r="A45" s="15" t="s">
        <v>90</v>
      </c>
      <c r="B45" s="15">
        <f t="shared" ref="B45" si="1">D45*12</f>
        <v>480</v>
      </c>
      <c r="C45" s="15" t="s">
        <v>58</v>
      </c>
      <c r="D45" s="15">
        <v>40</v>
      </c>
      <c r="E45" s="15" t="s">
        <v>18</v>
      </c>
      <c r="F45" s="15" t="s">
        <v>59</v>
      </c>
    </row>
    <row r="46" spans="1:6" x14ac:dyDescent="0.2">
      <c r="A46" s="15" t="s">
        <v>99</v>
      </c>
      <c r="B46" s="15">
        <f>D46*12</f>
        <v>240</v>
      </c>
      <c r="C46" s="15" t="s">
        <v>93</v>
      </c>
      <c r="D46" s="15">
        <v>20</v>
      </c>
      <c r="E46" s="15" t="s">
        <v>18</v>
      </c>
      <c r="F46" s="15" t="s">
        <v>94</v>
      </c>
    </row>
    <row r="47" spans="1:6" x14ac:dyDescent="0.2">
      <c r="A47" s="15" t="s">
        <v>100</v>
      </c>
      <c r="B47" s="15">
        <f t="shared" ref="B47:B49" si="2">D47*12</f>
        <v>240</v>
      </c>
      <c r="C47" s="15" t="s">
        <v>95</v>
      </c>
      <c r="D47" s="15">
        <v>20</v>
      </c>
      <c r="E47" s="15" t="s">
        <v>18</v>
      </c>
      <c r="F47" s="15" t="s">
        <v>96</v>
      </c>
    </row>
    <row r="48" spans="1:6" x14ac:dyDescent="0.2">
      <c r="A48" s="15" t="s">
        <v>101</v>
      </c>
      <c r="B48" s="15">
        <f t="shared" si="2"/>
        <v>240</v>
      </c>
      <c r="C48" s="15" t="s">
        <v>97</v>
      </c>
      <c r="D48" s="15">
        <v>20</v>
      </c>
      <c r="E48" s="15" t="s">
        <v>18</v>
      </c>
      <c r="F48" s="15" t="s">
        <v>98</v>
      </c>
    </row>
    <row r="49" spans="1:6" x14ac:dyDescent="0.2">
      <c r="A49" s="15" t="s">
        <v>103</v>
      </c>
      <c r="B49" s="15">
        <f t="shared" si="2"/>
        <v>240</v>
      </c>
      <c r="C49" s="15" t="s">
        <v>102</v>
      </c>
      <c r="D49" s="15">
        <v>20</v>
      </c>
      <c r="E49" s="15" t="s">
        <v>18</v>
      </c>
      <c r="F49" s="15" t="s">
        <v>104</v>
      </c>
    </row>
    <row r="50" spans="1:6" x14ac:dyDescent="0.2">
      <c r="A50" s="15" t="s">
        <v>105</v>
      </c>
      <c r="B50" s="15">
        <v>480</v>
      </c>
      <c r="C50" s="15" t="s">
        <v>106</v>
      </c>
      <c r="D50" s="15">
        <v>40</v>
      </c>
      <c r="E50" s="15" t="s">
        <v>18</v>
      </c>
      <c r="F50" s="15" t="s">
        <v>109</v>
      </c>
    </row>
    <row r="51" spans="1:6" x14ac:dyDescent="0.2">
      <c r="A51" s="15" t="s">
        <v>107</v>
      </c>
      <c r="B51" s="15">
        <v>480</v>
      </c>
      <c r="C51" s="15" t="s">
        <v>108</v>
      </c>
      <c r="D51" s="15">
        <v>40</v>
      </c>
      <c r="E51" s="15" t="s">
        <v>18</v>
      </c>
      <c r="F51" s="15" t="s">
        <v>110</v>
      </c>
    </row>
  </sheetData>
  <dataConsolidate/>
  <phoneticPr fontId="5" type="noConversion"/>
  <conditionalFormatting sqref="C58:C63">
    <cfRule type="duplicateValues" dxfId="4" priority="4"/>
  </conditionalFormatting>
  <conditionalFormatting sqref="C91:C92 C50:C57 C103:C1048576">
    <cfRule type="duplicateValues" dxfId="3" priority="5"/>
  </conditionalFormatting>
  <conditionalFormatting sqref="C43:C48 C1:C39">
    <cfRule type="duplicateValues" dxfId="2" priority="3"/>
  </conditionalFormatting>
  <conditionalFormatting sqref="C40">
    <cfRule type="duplicateValues" dxfId="1" priority="2"/>
  </conditionalFormatting>
  <conditionalFormatting sqref="C41:C42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sivasakthivel velchamy</cp:lastModifiedBy>
  <cp:lastPrinted>2022-06-08T05:42:53Z</cp:lastPrinted>
  <dcterms:created xsi:type="dcterms:W3CDTF">2015-06-05T18:17:20Z</dcterms:created>
  <dcterms:modified xsi:type="dcterms:W3CDTF">2024-02-01T06:10:18Z</dcterms:modified>
</cp:coreProperties>
</file>