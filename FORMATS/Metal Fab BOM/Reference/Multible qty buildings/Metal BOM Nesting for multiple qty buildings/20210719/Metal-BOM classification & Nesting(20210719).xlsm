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10719\"/>
    </mc:Choice>
  </mc:AlternateContent>
  <xr:revisionPtr revIDLastSave="0" documentId="13_ncr:1_{9900BC01-BA45-4521-95BF-2A85440B6373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Sheet1" sheetId="1" r:id="rId1"/>
    <sheet name="Sheet2" sheetId="15" r:id="rId2"/>
    <sheet name="NestingSummary" sheetId="28" r:id="rId3"/>
    <sheet name="DetailedNesting" sheetId="29" r:id="rId4"/>
  </sheets>
  <functionGroups builtInGroupCount="19"/>
  <calcPr calcId="191029" iterateDelta="1E-4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7" i="1" l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B29" i="15"/>
  <c r="B27" i="15"/>
  <c r="B28" i="15"/>
  <c r="B26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4" i="15"/>
  <c r="B25" i="15"/>
  <c r="B2" i="15"/>
</calcChain>
</file>

<file path=xl/sharedStrings.xml><?xml version="1.0" encoding="utf-8"?>
<sst xmlns="http://schemas.openxmlformats.org/spreadsheetml/2006/main" count="398" uniqueCount="161">
  <si>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</si>
  <si>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</si>
  <si>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</si>
  <si>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</si>
  <si>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</si>
  <si>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</si>
  <si>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</si>
  <si>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</si>
  <si>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</si>
  <si>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</si>
  <si>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</si>
  <si>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</si>
  <si>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</si>
  <si>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</si>
  <si>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</si>
  <si>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</si>
  <si>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</si>
  <si>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</si>
  <si>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</si>
  <si>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</si>
  <si>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</si>
  <si>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</si>
  <si>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</si>
  <si>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</si>
  <si>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</si>
  <si>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</si>
  <si>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</si>
  <si>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</si>
  <si>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</si>
  <si>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</si>
  <si>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</si>
  <si>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</si>
  <si>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</si>
  <si>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</si>
  <si>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</si>
  <si>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</si>
  <si>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</si>
  <si>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</si>
  <si>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</si>
  <si>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</si>
  <si>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</si>
  <si>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</si>
  <si>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</si>
  <si>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</si>
  <si>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</si>
  <si>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</si>
  <si>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</si>
  <si>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</si>
  <si>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</si>
  <si>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</si>
  <si>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</si>
  <si>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</si>
  <si>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</si>
  <si>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</si>
  <si>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</si>
  <si>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</si>
  <si>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</si>
  <si>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</si>
  <si>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</si>
  <si>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</si>
  <si>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</si>
  <si>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</si>
  <si>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</si>
  <si>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</si>
  <si>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</si>
  <si>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</si>
  <si>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</si>
  <si>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</si>
  <si>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</si>
  <si>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</si>
  <si>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</si>
  <si>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</si>
  <si>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</si>
  <si>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</si>
  <si>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</si>
  <si>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</si>
  <si>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</si>
  <si>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</si>
  <si>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</si>
  <si>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</si>
  <si>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</si>
  <si>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</si>
  <si>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</si>
  <si>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</si>
  <si>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</si>
  <si>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</si>
  <si>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</si>
  <si>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</si>
  <si>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</si>
  <si>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</si>
  <si>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</si>
  <si>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</si>
  <si>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</si>
  <si>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</si>
  <si>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</si>
  <si>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</si>
  <si>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</si>
  <si>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</si>
  <si>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</si>
  <si>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</si>
  <si>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</si>
  <si>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</si>
  <si>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</si>
  <si>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</si>
  <si>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</si>
  <si>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</si>
  <si>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</si>
  <si>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</si>
  <si>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</si>
  <si>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HSS8x4x5/8</t>
  </si>
  <si>
    <t>804-00089</t>
  </si>
  <si>
    <t>804-14012</t>
  </si>
  <si>
    <t>L3x2x3/16</t>
  </si>
  <si>
    <t>L2x2x1/4</t>
  </si>
  <si>
    <t>HSS4X4X1/8</t>
  </si>
  <si>
    <t>HSS8x2x3/8</t>
  </si>
  <si>
    <t>ISOLATOR RAIL</t>
  </si>
  <si>
    <t>Raw Ang. 3" X 2" X 3/16"</t>
  </si>
  <si>
    <t>804-14007</t>
  </si>
  <si>
    <t>Raw Ang. 2 X 2 X 1/4"</t>
  </si>
  <si>
    <t xml:space="preserve">Tubing 8"x2"x3/8"  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</si>
  <si>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</si>
  <si>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</si>
  <si>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</si>
  <si>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</si>
  <si>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</si>
  <si>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</si>
  <si>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</si>
  <si>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</si>
  <si>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Cut Length1</t>
  </si>
  <si>
    <t>Cut Length2</t>
  </si>
  <si>
    <t>Cut Length3</t>
  </si>
  <si>
    <t>Cut Length4</t>
  </si>
  <si>
    <t>Cut Length5</t>
  </si>
  <si>
    <t>Cut Length6</t>
  </si>
  <si>
    <t>Cut Length7</t>
  </si>
  <si>
    <t>Cut Length8</t>
  </si>
  <si>
    <t>Cut Length9</t>
  </si>
  <si>
    <t>Cut Length10</t>
  </si>
  <si>
    <t>Cut Length11</t>
  </si>
  <si>
    <t>Cut Length12</t>
  </si>
  <si>
    <t>Cut Length13</t>
  </si>
  <si>
    <t>Cut Length14</t>
  </si>
  <si>
    <t>Cut Length15</t>
  </si>
  <si>
    <t>Cut Length16</t>
  </si>
  <si>
    <t>Cut Length17</t>
  </si>
  <si>
    <t>Cut Length18</t>
  </si>
  <si>
    <t>Cut Length19</t>
  </si>
  <si>
    <t>Cut Length20</t>
  </si>
  <si>
    <t>Cut Length21</t>
  </si>
  <si>
    <t>Cut Length22</t>
  </si>
  <si>
    <t>Cut Length23</t>
  </si>
  <si>
    <t>Cut Length24</t>
  </si>
  <si>
    <t>Cut Length25</t>
  </si>
  <si>
    <t>Cut Length26</t>
  </si>
  <si>
    <t>Cut Length27</t>
  </si>
  <si>
    <t>Cut Length28</t>
  </si>
  <si>
    <t>Cut Length29</t>
  </si>
  <si>
    <t>Total Cut Length</t>
  </si>
  <si>
    <t>Total Waste</t>
  </si>
  <si>
    <t>Cut Length30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</si>
</sst>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3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sz val="8"/>
      <name val="Arial"/>
      <family val="2"/>
      <charset val="1"/>
    </font>
    <font>
      <sz val="8"/>
      <color rgb="FF000000"/>
      <name val="Arial"/>
      <family val="2"/>
      <charset val="1"/>
    </font>
    <font>
      <sz val="8"/>
      <name val="Arial"/>
      <family val="1"/>
      <charset val="1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8"/>
      </right>
      <top style="hair">
        <color auto="1"/>
      </top>
      <bottom style="hair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8"/>
      </right>
      <top style="hair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left" vertical="center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0" borderId="0" xfId="0" applyFont="1" applyFill="1"/>
    <xf numFmtId="0" fontId="7" fillId="0" borderId="0" xfId="0" applyFont="1" applyBorder="1"/>
    <xf numFmtId="0" fontId="7" fillId="5" borderId="1" xfId="0" applyFont="1" applyFill="1" applyBorder="1" applyAlignment="1">
      <alignment horizontal="left"/>
    </xf>
    <xf numFmtId="0" fontId="9" fillId="0" borderId="4" xfId="0" applyFont="1" applyBorder="1" applyAlignment="1">
      <alignment horizontal="left"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wrapText="1"/>
    </xf>
    <xf numFmtId="0" fontId="10" fillId="0" borderId="4" xfId="0" applyFont="1" applyBorder="1" applyAlignment="1">
      <alignment wrapText="1"/>
    </xf>
    <xf numFmtId="12" fontId="10" fillId="0" borderId="4" xfId="0" applyNumberFormat="1" applyFont="1" applyBorder="1" applyAlignment="1">
      <alignment horizontal="center" wrapText="1"/>
    </xf>
    <xf numFmtId="0" fontId="10" fillId="0" borderId="4" xfId="0" applyFont="1" applyBorder="1" applyAlignment="1">
      <alignment horizontal="center"/>
    </xf>
    <xf numFmtId="12" fontId="11" fillId="0" borderId="4" xfId="0" applyNumberFormat="1" applyFont="1" applyBorder="1" applyAlignment="1">
      <alignment horizontal="center" wrapText="1"/>
    </xf>
    <xf numFmtId="12" fontId="8" fillId="0" borderId="2" xfId="0" applyNumberFormat="1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center" vertical="center" wrapText="1"/>
    </xf>
    <xf numFmtId="165" fontId="5" fillId="0" borderId="6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165" fontId="5" fillId="0" borderId="7" xfId="0" applyNumberFormat="1" applyFont="1" applyBorder="1" applyAlignment="1">
      <alignment horizontal="center" vertical="center" wrapText="1"/>
    </xf>
    <xf numFmtId="0" fontId="12" fillId="0" borderId="0" xfId="0" applyFont="1"/>
    <xf numFmtId="10" fontId="0" fillId="0" borderId="0" xfId="0" applyNumberFormat="1"/>
    <xf numFmtId="0" fontId="5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center" vertical="center" wrapText="1"/>
    </xf>
    <xf numFmtId="165" fontId="5" fillId="0" borderId="8" xfId="0" applyNumberFormat="1" applyFont="1" applyBorder="1" applyAlignment="1">
      <alignment horizontal="center" vertical="center" wrapText="1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165" fontId="5" fillId="0" borderId="11" xfId="0" applyNumberFormat="1" applyFont="1" applyBorder="1" applyAlignment="1">
      <alignment horizontal="center" vertical="center" wrapText="1"/>
    </xf>
    <xf numFmtId="12" fontId="8" fillId="0" borderId="9" xfId="0" applyNumberFormat="1" applyFont="1" applyBorder="1" applyAlignment="1">
      <alignment horizontal="left" vertical="center"/>
    </xf>
    <xf numFmtId="0" fontId="8" fillId="0" borderId="0" xfId="0" applyFont="1" applyBorder="1"/>
  </cellXfs>
  <cellStyles count="1"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65" formatCode="0.000"/>
      <alignment horizontal="center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indexed="8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68" totalsRowShown="0" dataDxfId="12">
  <autoFilter ref="A4:K68" xr:uid="{CDF9619B-F0E7-490D-BEFA-727196256470}"/>
  <sortState xmlns:xlrd2="http://schemas.microsoft.com/office/spreadsheetml/2017/richdata2" ref="A5:K13">
    <sortCondition descending="1" ref="G5:G13"/>
  </sortState>
  <tableColumns count="11">
    <tableColumn id="1" xr3:uid="{4774FE6E-D79F-4E40-98D1-FE10D40ABC07}" name="SL. NO." dataDxfId="11"/>
    <tableColumn id="2" xr3:uid="{9884691F-0A0D-47CB-8EF0-9AE590C29CC9}" name="PART#" dataDxfId="10"/>
    <tableColumn id="3" xr3:uid="{3868E0BB-A494-4109-A7E8-244E1F15175E}" name="LEGEND" dataDxfId="9"/>
    <tableColumn id="4" xr3:uid="{A4F222A3-F838-4FED-8402-8D5E4131929A}" name="ITEM #" dataDxfId="8"/>
    <tableColumn id="5" xr3:uid="{6C82C4FD-0222-4263-8F8F-1DE29AB0E7E9}" name="DESCRIPTION" dataDxfId="7"/>
    <tableColumn id="6" xr3:uid="{74DDC800-B5E7-459A-ABF8-ABAF51A457AC}" name="QTY." dataDxfId="6"/>
    <tableColumn id="7" xr3:uid="{119738FE-8C63-4234-ACE4-FA9F6A046F9C}" name="LENGTH (in.)" dataDxfId="5"/>
    <tableColumn id="8" xr3:uid="{E4370ABC-D39E-4392-8F0E-6B9C56981840}" name="RAW MATERIAL _x000a_NUMBER" dataDxfId="4">
      <calculatedColumnFormula>Table1[[#This Row],[LENGTH (in.)]]*Table1[[#This Row],[QTY.]]</calculatedColumnFormula>
    </tableColumn>
    <tableColumn id="9" xr3:uid="{1A2B8888-81A1-4DB4-A951-BBABDB4647C7}" name="SUPPLIER" dataDxfId="3"/>
    <tableColumn id="10" xr3:uid="{709F9ABD-F4C3-4F5E-9F71-D158E141171F}" name="SUB-ASSEMBLY" dataDxfId="2"/>
    <tableColumn id="11" xr3:uid="{047AD226-E9D9-4FBE-A92A-B42E92B0B3A3}" name="REMARKS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D3452DF-CD31-4C7B-811B-55D4A35001F9}" name="Table1" displayName="Table1_1" ref="A1:F14" totalsRowShown="0" headerRowDxfId="0">
  <autoFilter ref="A1:F14" xr:uid="{DD3452DF-CD31-4C7B-811B-55D4A35001F9}"/>
  <tableColumns count="6">
    <tableColumn id="1" xr3:uid="{3AC0E017-685D-4D31-A020-9DC2D429D168}" name="Item Description"/>
    <tableColumn id="2" xr3:uid="{8F060F92-502C-4109-8C92-7501845AEF46}" name="Raw Material Number"/>
    <tableColumn id="3" xr3:uid="{A5391BFE-C936-44ED-AD3E-6703A91EEF67}" name="Qty"/>
    <tableColumn id="4" xr3:uid="{12BCA115-0856-4607-B74E-74EF18BF3299}" name="Purchase Length(inches)"/>
    <tableColumn id="5" xr3:uid="{BC195E1F-2CDF-41F2-A788-CE93477626BC}" name="Purchase Length(ft)"/>
    <tableColumn id="6" xr3:uid="{4A7B19DD-DF78-4E88-B957-5786AFB7A855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41E6DB6-1802-47C7-A6B2-CABA729C464A}" name="Table2" displayName="Table2" ref="A1:AI56" totalsRowShown="0">
  <autoFilter ref="A1:AI56" xr:uid="{241E6DB6-1802-47C7-A6B2-CABA729C464A}"/>
  <tableColumns count="35">
    <tableColumn id="1" xr3:uid="{7BD1D0E6-90BE-4EEB-98FB-1E958CCBCF3F}" name="Item Description"/>
    <tableColumn id="2" xr3:uid="{31E6EEEE-00DD-4807-B8B4-D530A75385D6}" name="Raw Material"/>
    <tableColumn id="3" xr3:uid="{CF99B84C-8984-49F7-BAF1-A51BC6A36D3A}" name="Purchase Length"/>
    <tableColumn id="4" xr3:uid="{8AAFF1B9-0141-4E12-9D6C-3DD53B8BA5D2}" name="Cut Length1"/>
    <tableColumn id="5" xr3:uid="{306F3BD4-9290-4F8F-A706-12069552EDEC}" name="Cut Length2"/>
    <tableColumn id="6" xr3:uid="{5404BC78-720F-49AE-B834-8F6264264193}" name="Cut Length3"/>
    <tableColumn id="7" xr3:uid="{896E0559-5EBA-4930-B2DB-11DB1DA8E2BF}" name="Cut Length4"/>
    <tableColumn id="8" xr3:uid="{A9E45F0B-4711-4E5B-8C73-B64A0FCDC25A}" name="Cut Length5"/>
    <tableColumn id="9" xr3:uid="{86C1B07D-1CBB-4490-A2B5-62773BD20156}" name="Cut Length6"/>
    <tableColumn id="10" xr3:uid="{8447CF30-AAC9-47C9-BD0E-499CF046AA06}" name="Cut Length7"/>
    <tableColumn id="11" xr3:uid="{987DEC04-F21D-4C64-9310-14FEBE86EE4E}" name="Cut Length8"/>
    <tableColumn id="12" xr3:uid="{FB59C779-CBB4-4E68-B0A3-FCB278F0F0F6}" name="Cut Length9"/>
    <tableColumn id="13" xr3:uid="{C21632B9-1A40-43D3-80C4-E56B13FB07D8}" name="Cut Length10"/>
    <tableColumn id="14" xr3:uid="{4D551636-2B59-4D46-88E5-62117E96B692}" name="Cut Length11"/>
    <tableColumn id="15" xr3:uid="{8A6FD5E3-F34D-45CB-8E9C-276EFA7CD681}" name="Cut Length12"/>
    <tableColumn id="16" xr3:uid="{ED95B714-A0C0-454B-9FFB-0A421B345DE1}" name="Cut Length13"/>
    <tableColumn id="17" xr3:uid="{03D637C0-BDDA-424A-BC94-CD26F85D2CBB}" name="Cut Length14"/>
    <tableColumn id="18" xr3:uid="{90B4F5C5-94AB-48A4-A32E-A98521A9A896}" name="Cut Length15"/>
    <tableColumn id="19" xr3:uid="{37703B9C-1D3A-4693-82FB-3CDA091A1171}" name="Cut Length16"/>
    <tableColumn id="20" xr3:uid="{91DFCBC8-A1F9-4355-A96F-94C2D97E151B}" name="Cut Length17"/>
    <tableColumn id="21" xr3:uid="{CCAF8FDD-64C9-4851-B7B2-7EE254156E51}" name="Cut Length18"/>
    <tableColumn id="22" xr3:uid="{7481FBE8-14A1-4487-949D-6347EC8D442F}" name="Cut Length19"/>
    <tableColumn id="23" xr3:uid="{440A0582-CDA6-49C2-9494-EB5EC51E0FBC}" name="Cut Length20"/>
    <tableColumn id="24" xr3:uid="{15A9F92D-AD15-4B26-80D8-E8973A186221}" name="Cut Length21"/>
    <tableColumn id="25" xr3:uid="{543C2FE8-768C-4AAF-AE90-A9940A75AEC5}" name="Cut Length22"/>
    <tableColumn id="26" xr3:uid="{E32D5409-61C6-4874-B4FC-B52DF7C4B253}" name="Cut Length23"/>
    <tableColumn id="27" xr3:uid="{688CB80B-08DE-4707-9899-DE6F61B2C938}" name="Cut Length24"/>
    <tableColumn id="28" xr3:uid="{568A7628-28D9-4B29-B03A-AACCF1BC733C}" name="Cut Length25"/>
    <tableColumn id="29" xr3:uid="{532D7C7E-B704-464A-9D92-F03F39CEAB49}" name="Cut Length26"/>
    <tableColumn id="30" xr3:uid="{EB948740-0A8C-4C58-A02F-BA71D1F07B87}" name="Cut Length27"/>
    <tableColumn id="31" xr3:uid="{DFA05655-DBCE-44DA-88A5-9A4CE3E38F92}" name="Cut Length28"/>
    <tableColumn id="32" xr3:uid="{88397B0F-EF49-4A77-9BBC-F10490D263A9}" name="Cut Length29"/>
    <tableColumn id="33" xr3:uid="{2AE3EE27-E8AF-44C0-AC05-EE9F7A2B5129}" name="Cut Length30"/>
    <tableColumn id="34" xr3:uid="{D33E0506-ACC9-4122-B122-A561C0875E9A}" name="Total Cut Length"/>
    <tableColumn id="35" xr3:uid="{0AD9599E-B8B1-418E-8EE3-37038625B680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68"/>
  <sheetViews>
    <sheetView zoomScale="115" zoomScaleNormal="115" workbookViewId="0">
      <selection activeCell="H18" sqref="H18"/>
    </sheetView>
  </sheetViews>
  <sheetFormatPr defaultRowHeight="15" x14ac:dyDescent="0.25"/>
  <cols>
    <col min="1" max="1" width="15.42578125" style="7" customWidth="1"/>
    <col min="2" max="2" width="12.28515625" style="8" customWidth="1"/>
    <col min="3" max="3" width="13.140625" style="7" bestFit="1" customWidth="1"/>
    <col min="4" max="4" width="11.28515625" style="7" bestFit="1" customWidth="1"/>
    <col min="5" max="5" width="17.42578125" style="7" customWidth="1"/>
    <col min="6" max="6" width="9.7109375" style="7" bestFit="1" customWidth="1"/>
    <col min="7" max="7" width="11.7109375" style="13" customWidth="1"/>
    <col min="8" max="9" width="8.42578125" style="7" customWidth="1"/>
    <col min="10" max="10" width="11.7109375" style="7" bestFit="1" customWidth="1"/>
    <col min="11" max="11" width="9.7109375" style="7" customWidth="1"/>
    <col min="12" max="12" width="3.85546875" style="7" hidden="1" customWidth="1"/>
    <col min="13" max="13" width="42.28515625" bestFit="1" customWidth="1"/>
    <col min="14" max="16" width="11.5703125" customWidth="1"/>
    <col min="17" max="1023" width="11.5703125" style="7" customWidth="1"/>
  </cols>
  <sheetData>
    <row r="1" spans="1:102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25">
      <c r="E3" s="9"/>
    </row>
    <row r="4" spans="1:1023" ht="66" customHeight="1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10" t="s">
        <v>13</v>
      </c>
      <c r="I4" s="10" t="s">
        <v>74</v>
      </c>
      <c r="J4" s="10" t="s">
        <v>75</v>
      </c>
      <c r="K4" s="10" t="s">
        <v>76</v>
      </c>
    </row>
    <row r="5" spans="1:1023" s="18" customFormat="1" ht="11.25" x14ac:dyDescent="0.2">
      <c r="A5" s="15"/>
      <c r="B5" s="24"/>
      <c r="C5" s="29"/>
      <c r="D5" s="26"/>
      <c r="E5" s="27" t="s">
        <v>83</v>
      </c>
      <c r="F5" s="26">
        <v>29</v>
      </c>
      <c r="G5" s="30">
        <v>116.5</v>
      </c>
      <c r="H5" s="31">
        <f>Table1[[#This Row],[LENGTH (in.)]]*Table1[[#This Row],[QTY.]]</f>
        <v>3378.5</v>
      </c>
      <c r="I5" s="16"/>
      <c r="J5" s="16"/>
      <c r="K5" s="16"/>
      <c r="L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17"/>
      <c r="GO5" s="17"/>
      <c r="GP5" s="17"/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17"/>
      <c r="KP5" s="17"/>
      <c r="KQ5" s="17"/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17"/>
      <c r="MT5" s="17"/>
      <c r="MU5" s="17"/>
      <c r="MV5" s="17"/>
      <c r="MW5" s="17"/>
      <c r="MX5" s="17"/>
      <c r="MY5" s="17"/>
      <c r="MZ5" s="17"/>
      <c r="NA5" s="17"/>
      <c r="NB5" s="17"/>
      <c r="NC5" s="17"/>
      <c r="ND5" s="17"/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17"/>
      <c r="OX5" s="17"/>
      <c r="OY5" s="17"/>
      <c r="OZ5" s="17"/>
      <c r="PA5" s="17"/>
      <c r="PB5" s="17"/>
      <c r="PC5" s="17"/>
      <c r="PD5" s="17"/>
      <c r="PE5" s="17"/>
      <c r="PF5" s="17"/>
      <c r="PG5" s="17"/>
      <c r="PH5" s="17"/>
      <c r="PI5" s="17"/>
      <c r="PJ5" s="17"/>
      <c r="PK5" s="17"/>
      <c r="PL5" s="17"/>
      <c r="PM5" s="17"/>
      <c r="PN5" s="17"/>
      <c r="PO5" s="17"/>
      <c r="PP5" s="17"/>
      <c r="PQ5" s="17"/>
      <c r="PR5" s="17"/>
      <c r="PS5" s="17"/>
      <c r="PT5" s="17"/>
      <c r="PU5" s="17"/>
      <c r="PV5" s="17"/>
      <c r="PW5" s="17"/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17"/>
      <c r="RA5" s="17"/>
      <c r="RB5" s="17"/>
      <c r="RC5" s="17"/>
      <c r="RD5" s="17"/>
      <c r="RE5" s="17"/>
      <c r="RF5" s="17"/>
      <c r="RG5" s="17"/>
      <c r="RH5" s="17"/>
      <c r="RI5" s="17"/>
      <c r="RJ5" s="17"/>
      <c r="RK5" s="17"/>
      <c r="RL5" s="17"/>
      <c r="RM5" s="17"/>
      <c r="RN5" s="17"/>
      <c r="RO5" s="17"/>
      <c r="RP5" s="17"/>
      <c r="RQ5" s="17"/>
      <c r="RR5" s="17"/>
      <c r="RS5" s="17"/>
      <c r="RT5" s="17"/>
      <c r="RU5" s="17"/>
      <c r="RV5" s="17"/>
      <c r="RW5" s="17"/>
      <c r="RX5" s="17"/>
      <c r="RY5" s="17"/>
      <c r="RZ5" s="17"/>
      <c r="SA5" s="17"/>
      <c r="SB5" s="17"/>
      <c r="SC5" s="17"/>
      <c r="SD5" s="17"/>
      <c r="SE5" s="17"/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17"/>
      <c r="TQ5" s="17"/>
      <c r="TR5" s="17"/>
      <c r="TS5" s="17"/>
      <c r="TT5" s="17"/>
      <c r="TU5" s="17"/>
      <c r="TV5" s="17"/>
      <c r="TW5" s="17"/>
      <c r="TX5" s="17"/>
      <c r="TY5" s="17"/>
      <c r="TZ5" s="17"/>
      <c r="UA5" s="17"/>
      <c r="UB5" s="17"/>
      <c r="UC5" s="17"/>
      <c r="UD5" s="17"/>
      <c r="UE5" s="17"/>
      <c r="UF5" s="17"/>
      <c r="UG5" s="17"/>
      <c r="UH5" s="17"/>
      <c r="UI5" s="17"/>
      <c r="UJ5" s="17"/>
      <c r="UK5" s="17"/>
      <c r="UL5" s="17"/>
      <c r="UM5" s="17"/>
      <c r="UN5" s="17"/>
      <c r="UO5" s="17"/>
      <c r="UP5" s="17"/>
      <c r="UQ5" s="17"/>
      <c r="UR5" s="17"/>
      <c r="US5" s="17"/>
      <c r="UT5" s="17"/>
      <c r="UU5" s="17"/>
      <c r="UV5" s="17"/>
      <c r="UW5" s="17"/>
      <c r="UX5" s="17"/>
      <c r="UY5" s="17"/>
      <c r="UZ5" s="17"/>
      <c r="VA5" s="17"/>
      <c r="VB5" s="17"/>
      <c r="VC5" s="17"/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17"/>
      <c r="WG5" s="17"/>
      <c r="WH5" s="17"/>
      <c r="WI5" s="17"/>
      <c r="WJ5" s="17"/>
      <c r="WK5" s="17"/>
      <c r="WL5" s="17"/>
      <c r="WM5" s="17"/>
      <c r="WN5" s="17"/>
      <c r="WO5" s="17"/>
      <c r="WP5" s="17"/>
      <c r="WQ5" s="17"/>
      <c r="WR5" s="17"/>
      <c r="WS5" s="17"/>
      <c r="WT5" s="17"/>
      <c r="WU5" s="17"/>
      <c r="WV5" s="17"/>
      <c r="WW5" s="17"/>
      <c r="WX5" s="17"/>
      <c r="WY5" s="17"/>
      <c r="WZ5" s="17"/>
      <c r="XA5" s="17"/>
      <c r="XB5" s="17"/>
      <c r="XC5" s="17"/>
      <c r="XD5" s="17"/>
      <c r="XE5" s="17"/>
      <c r="XF5" s="17"/>
      <c r="XG5" s="17"/>
      <c r="XH5" s="17"/>
      <c r="XI5" s="17"/>
      <c r="XJ5" s="17"/>
      <c r="XK5" s="17"/>
      <c r="XL5" s="17"/>
      <c r="XM5" s="17"/>
      <c r="XN5" s="17"/>
      <c r="XO5" s="17"/>
      <c r="XP5" s="17"/>
      <c r="XQ5" s="17"/>
      <c r="XR5" s="17"/>
      <c r="XS5" s="17"/>
      <c r="XT5" s="17"/>
      <c r="XU5" s="17"/>
      <c r="XV5" s="17"/>
      <c r="XW5" s="17"/>
      <c r="XX5" s="17"/>
      <c r="XY5" s="17"/>
      <c r="XZ5" s="17"/>
      <c r="YA5" s="17"/>
      <c r="YB5" s="17"/>
      <c r="YC5" s="17"/>
      <c r="YD5" s="17"/>
      <c r="YE5" s="17"/>
      <c r="YF5" s="17"/>
      <c r="YG5" s="17"/>
      <c r="YH5" s="17"/>
      <c r="YI5" s="17"/>
      <c r="YJ5" s="17"/>
      <c r="YK5" s="17"/>
      <c r="YL5" s="17"/>
      <c r="YM5" s="17"/>
      <c r="YN5" s="17"/>
      <c r="YO5" s="17"/>
      <c r="YP5" s="17"/>
      <c r="YQ5" s="17"/>
      <c r="YR5" s="17"/>
      <c r="YS5" s="17"/>
      <c r="YT5" s="17"/>
      <c r="YU5" s="17"/>
      <c r="YV5" s="17"/>
      <c r="YW5" s="17"/>
      <c r="YX5" s="17"/>
      <c r="YY5" s="17"/>
      <c r="YZ5" s="17"/>
      <c r="ZA5" s="17"/>
      <c r="ZB5" s="17"/>
      <c r="ZC5" s="17"/>
      <c r="ZD5" s="17"/>
      <c r="ZE5" s="17"/>
      <c r="ZF5" s="17"/>
      <c r="ZG5" s="17"/>
      <c r="ZH5" s="17"/>
      <c r="ZI5" s="17"/>
      <c r="ZJ5" s="17"/>
      <c r="ZK5" s="17"/>
      <c r="ZL5" s="17"/>
      <c r="ZM5" s="17"/>
      <c r="ZN5" s="17"/>
      <c r="ZO5" s="17"/>
      <c r="ZP5" s="17"/>
      <c r="ZQ5" s="17"/>
      <c r="ZR5" s="17"/>
      <c r="ZS5" s="17"/>
      <c r="ZT5" s="17"/>
      <c r="ZU5" s="17"/>
      <c r="ZV5" s="17"/>
      <c r="ZW5" s="17"/>
      <c r="ZX5" s="17"/>
      <c r="ZY5" s="17"/>
      <c r="ZZ5" s="17"/>
      <c r="AAA5" s="17"/>
      <c r="AAB5" s="17"/>
      <c r="AAC5" s="17"/>
      <c r="AAD5" s="17"/>
      <c r="AAE5" s="17"/>
      <c r="AAF5" s="17"/>
      <c r="AAG5" s="17"/>
      <c r="AAH5" s="17"/>
      <c r="AAI5" s="17"/>
      <c r="AAJ5" s="17"/>
      <c r="AAK5" s="17"/>
      <c r="AAL5" s="17"/>
      <c r="AAM5" s="17"/>
      <c r="AAN5" s="17"/>
      <c r="AAO5" s="17"/>
      <c r="AAP5" s="17"/>
      <c r="AAQ5" s="17"/>
      <c r="AAR5" s="17"/>
      <c r="AAS5" s="17"/>
      <c r="AAT5" s="17"/>
      <c r="AAU5" s="17"/>
      <c r="AAV5" s="17"/>
      <c r="AAW5" s="17"/>
      <c r="AAX5" s="17"/>
      <c r="AAY5" s="17"/>
      <c r="AAZ5" s="17"/>
      <c r="ABA5" s="17"/>
      <c r="ABB5" s="17"/>
      <c r="ABC5" s="17"/>
      <c r="ABD5" s="17"/>
      <c r="ABE5" s="17"/>
      <c r="ABF5" s="17"/>
      <c r="ABG5" s="17"/>
      <c r="ABH5" s="17"/>
      <c r="ABI5" s="17"/>
      <c r="ABJ5" s="17"/>
      <c r="ABK5" s="17"/>
      <c r="ABL5" s="17"/>
      <c r="ABM5" s="17"/>
      <c r="ABN5" s="17"/>
      <c r="ABO5" s="17"/>
      <c r="ABP5" s="17"/>
      <c r="ABQ5" s="17"/>
      <c r="ABR5" s="17"/>
      <c r="ABS5" s="17"/>
      <c r="ABT5" s="17"/>
      <c r="ABU5" s="17"/>
      <c r="ABV5" s="17"/>
      <c r="ABW5" s="17"/>
      <c r="ABX5" s="17"/>
      <c r="ABY5" s="17"/>
      <c r="ABZ5" s="17"/>
      <c r="ACA5" s="17"/>
      <c r="ACB5" s="17"/>
      <c r="ACC5" s="17"/>
      <c r="ACD5" s="17"/>
      <c r="ACE5" s="17"/>
      <c r="ACF5" s="17"/>
      <c r="ACG5" s="17"/>
      <c r="ACH5" s="17"/>
      <c r="ACI5" s="17"/>
      <c r="ACJ5" s="17"/>
      <c r="ACK5" s="17"/>
      <c r="ACL5" s="17"/>
      <c r="ACM5" s="17"/>
      <c r="ACN5" s="17"/>
      <c r="ACO5" s="17"/>
      <c r="ACP5" s="17"/>
      <c r="ACQ5" s="17"/>
      <c r="ACR5" s="17"/>
      <c r="ACS5" s="17"/>
      <c r="ACT5" s="17"/>
      <c r="ACU5" s="17"/>
      <c r="ACV5" s="17"/>
      <c r="ACW5" s="17"/>
      <c r="ACX5" s="17"/>
      <c r="ACY5" s="17"/>
      <c r="ACZ5" s="17"/>
      <c r="ADA5" s="17"/>
      <c r="ADB5" s="17"/>
      <c r="ADC5" s="17"/>
      <c r="ADD5" s="17"/>
      <c r="ADE5" s="17"/>
      <c r="ADF5" s="17"/>
      <c r="ADG5" s="17"/>
      <c r="ADH5" s="17"/>
      <c r="ADI5" s="17"/>
      <c r="ADJ5" s="17"/>
      <c r="ADK5" s="17"/>
      <c r="ADL5" s="17"/>
      <c r="ADM5" s="17"/>
      <c r="ADN5" s="17"/>
      <c r="ADO5" s="17"/>
      <c r="ADP5" s="17"/>
      <c r="ADQ5" s="17"/>
      <c r="ADR5" s="17"/>
      <c r="ADS5" s="17"/>
      <c r="ADT5" s="17"/>
      <c r="ADU5" s="17"/>
      <c r="ADV5" s="17"/>
      <c r="ADW5" s="17"/>
      <c r="ADX5" s="17"/>
      <c r="ADY5" s="17"/>
      <c r="ADZ5" s="17"/>
      <c r="AEA5" s="17"/>
      <c r="AEB5" s="17"/>
      <c r="AEC5" s="17"/>
      <c r="AED5" s="17"/>
      <c r="AEE5" s="17"/>
      <c r="AEF5" s="17"/>
      <c r="AEG5" s="17"/>
      <c r="AEH5" s="17"/>
      <c r="AEI5" s="17"/>
      <c r="AEJ5" s="17"/>
      <c r="AEK5" s="17"/>
      <c r="AEL5" s="17"/>
      <c r="AEM5" s="17"/>
      <c r="AEN5" s="17"/>
      <c r="AEO5" s="17"/>
      <c r="AEP5" s="17"/>
      <c r="AEQ5" s="17"/>
      <c r="AER5" s="17"/>
      <c r="AES5" s="17"/>
      <c r="AET5" s="17"/>
      <c r="AEU5" s="17"/>
      <c r="AEV5" s="17"/>
      <c r="AEW5" s="17"/>
      <c r="AEX5" s="17"/>
      <c r="AEY5" s="17"/>
      <c r="AEZ5" s="17"/>
      <c r="AFA5" s="17"/>
      <c r="AFB5" s="17"/>
      <c r="AFC5" s="17"/>
      <c r="AFD5" s="17"/>
      <c r="AFE5" s="17"/>
      <c r="AFF5" s="17"/>
      <c r="AFG5" s="17"/>
      <c r="AFH5" s="17"/>
      <c r="AFI5" s="17"/>
      <c r="AFJ5" s="17"/>
      <c r="AFK5" s="17"/>
      <c r="AFL5" s="17"/>
      <c r="AFM5" s="17"/>
      <c r="AFN5" s="17"/>
      <c r="AFO5" s="17"/>
      <c r="AFP5" s="17"/>
      <c r="AFQ5" s="17"/>
      <c r="AFR5" s="17"/>
      <c r="AFS5" s="17"/>
      <c r="AFT5" s="17"/>
      <c r="AFU5" s="17"/>
      <c r="AFV5" s="17"/>
      <c r="AFW5" s="17"/>
      <c r="AFX5" s="17"/>
      <c r="AFY5" s="17"/>
      <c r="AFZ5" s="17"/>
      <c r="AGA5" s="17"/>
      <c r="AGB5" s="17"/>
      <c r="AGC5" s="17"/>
      <c r="AGD5" s="17"/>
      <c r="AGE5" s="17"/>
      <c r="AGF5" s="17"/>
      <c r="AGG5" s="17"/>
      <c r="AGH5" s="17"/>
      <c r="AGI5" s="17"/>
      <c r="AGJ5" s="17"/>
      <c r="AGK5" s="17"/>
      <c r="AGL5" s="17"/>
      <c r="AGM5" s="17"/>
      <c r="AGN5" s="17"/>
      <c r="AGO5" s="17"/>
      <c r="AGP5" s="17"/>
      <c r="AGQ5" s="17"/>
      <c r="AGR5" s="17"/>
      <c r="AGS5" s="17"/>
      <c r="AGT5" s="17"/>
      <c r="AGU5" s="17"/>
      <c r="AGV5" s="17"/>
      <c r="AGW5" s="17"/>
      <c r="AGX5" s="17"/>
      <c r="AGY5" s="17"/>
      <c r="AGZ5" s="17"/>
      <c r="AHA5" s="17"/>
      <c r="AHB5" s="17"/>
      <c r="AHC5" s="17"/>
      <c r="AHD5" s="17"/>
      <c r="AHE5" s="17"/>
      <c r="AHF5" s="17"/>
      <c r="AHG5" s="17"/>
      <c r="AHH5" s="17"/>
      <c r="AHI5" s="17"/>
      <c r="AHJ5" s="17"/>
      <c r="AHK5" s="17"/>
      <c r="AHL5" s="17"/>
      <c r="AHM5" s="17"/>
      <c r="AHN5" s="17"/>
      <c r="AHO5" s="17"/>
      <c r="AHP5" s="17"/>
      <c r="AHQ5" s="17"/>
      <c r="AHR5" s="17"/>
      <c r="AHS5" s="17"/>
      <c r="AHT5" s="17"/>
      <c r="AHU5" s="17"/>
      <c r="AHV5" s="17"/>
      <c r="AHW5" s="17"/>
      <c r="AHX5" s="17"/>
      <c r="AHY5" s="17"/>
      <c r="AHZ5" s="17"/>
      <c r="AIA5" s="17"/>
      <c r="AIB5" s="17"/>
      <c r="AIC5" s="17"/>
      <c r="AID5" s="17"/>
      <c r="AIE5" s="17"/>
      <c r="AIF5" s="17"/>
      <c r="AIG5" s="17"/>
      <c r="AIH5" s="17"/>
      <c r="AII5" s="17"/>
      <c r="AIJ5" s="17"/>
      <c r="AIK5" s="17"/>
      <c r="AIL5" s="17"/>
      <c r="AIM5" s="17"/>
      <c r="AIN5" s="17"/>
      <c r="AIO5" s="17"/>
      <c r="AIP5" s="17"/>
      <c r="AIQ5" s="17"/>
      <c r="AIR5" s="17"/>
      <c r="AIS5" s="17"/>
      <c r="AIT5" s="17"/>
      <c r="AIU5" s="17"/>
      <c r="AIV5" s="17"/>
      <c r="AIW5" s="17"/>
      <c r="AIX5" s="17"/>
      <c r="AIY5" s="17"/>
      <c r="AIZ5" s="17"/>
      <c r="AJA5" s="17"/>
      <c r="AJB5" s="17"/>
      <c r="AJC5" s="17"/>
      <c r="AJD5" s="17"/>
      <c r="AJE5" s="17"/>
      <c r="AJF5" s="17"/>
      <c r="AJG5" s="17"/>
      <c r="AJH5" s="17"/>
      <c r="AJI5" s="17"/>
      <c r="AJJ5" s="17"/>
      <c r="AJK5" s="17"/>
      <c r="AJL5" s="17"/>
      <c r="AJM5" s="17"/>
      <c r="AJN5" s="17"/>
      <c r="AJO5" s="17"/>
      <c r="AJP5" s="17"/>
      <c r="AJQ5" s="17"/>
      <c r="AJR5" s="17"/>
      <c r="AJS5" s="17"/>
      <c r="AJT5" s="17"/>
      <c r="AJU5" s="17"/>
      <c r="AJV5" s="17"/>
      <c r="AJW5" s="17"/>
      <c r="AJX5" s="17"/>
      <c r="AJY5" s="17"/>
      <c r="AJZ5" s="17"/>
      <c r="AKA5" s="17"/>
      <c r="AKB5" s="17"/>
      <c r="AKC5" s="17"/>
      <c r="AKD5" s="17"/>
      <c r="AKE5" s="17"/>
      <c r="AKF5" s="17"/>
      <c r="AKG5" s="17"/>
      <c r="AKH5" s="17"/>
      <c r="AKI5" s="17"/>
      <c r="AKJ5" s="17"/>
      <c r="AKK5" s="17"/>
      <c r="AKL5" s="17"/>
      <c r="AKM5" s="17"/>
      <c r="AKN5" s="17"/>
      <c r="AKO5" s="17"/>
      <c r="AKP5" s="17"/>
      <c r="AKQ5" s="17"/>
      <c r="AKR5" s="17"/>
      <c r="AKS5" s="17"/>
      <c r="AKT5" s="17"/>
      <c r="AKU5" s="17"/>
      <c r="AKV5" s="17"/>
      <c r="AKW5" s="17"/>
      <c r="AKX5" s="17"/>
      <c r="AKY5" s="17"/>
      <c r="AKZ5" s="17"/>
      <c r="ALA5" s="17"/>
      <c r="ALB5" s="17"/>
      <c r="ALC5" s="17"/>
      <c r="ALD5" s="17"/>
      <c r="ALE5" s="17"/>
      <c r="ALF5" s="17"/>
      <c r="ALG5" s="17"/>
      <c r="ALH5" s="17"/>
      <c r="ALI5" s="17"/>
      <c r="ALJ5" s="17"/>
      <c r="ALK5" s="17"/>
      <c r="ALL5" s="17"/>
      <c r="ALM5" s="17"/>
      <c r="ALN5" s="17"/>
      <c r="ALO5" s="17"/>
      <c r="ALP5" s="17"/>
      <c r="ALQ5" s="17"/>
      <c r="ALR5" s="17"/>
      <c r="ALS5" s="17"/>
      <c r="ALT5" s="17"/>
      <c r="ALU5" s="17"/>
      <c r="ALV5" s="17"/>
      <c r="ALW5" s="17"/>
      <c r="ALX5" s="17"/>
      <c r="ALY5" s="17"/>
      <c r="ALZ5" s="17"/>
      <c r="AMA5" s="17"/>
      <c r="AMB5" s="17"/>
      <c r="AMC5" s="17"/>
      <c r="AMD5" s="17"/>
      <c r="AME5" s="17"/>
      <c r="AMF5" s="17"/>
      <c r="AMG5" s="17"/>
      <c r="AMH5" s="17"/>
      <c r="AMI5" s="17"/>
    </row>
    <row r="6" spans="1:1023" s="18" customFormat="1" ht="11.25" x14ac:dyDescent="0.2">
      <c r="A6" s="15"/>
      <c r="B6" s="24"/>
      <c r="C6" s="29"/>
      <c r="D6" s="26"/>
      <c r="E6" s="27" t="s">
        <v>83</v>
      </c>
      <c r="F6" s="26">
        <v>5</v>
      </c>
      <c r="G6" s="30">
        <v>93.5</v>
      </c>
      <c r="H6" s="31">
        <f>Table1[[#This Row],[LENGTH (in.)]]*Table1[[#This Row],[QTY.]]</f>
        <v>467.5</v>
      </c>
      <c r="I6" s="16"/>
      <c r="J6" s="16"/>
      <c r="K6" s="16"/>
      <c r="L6" s="17"/>
      <c r="M6" s="23" t="s">
        <v>77</v>
      </c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17"/>
      <c r="GO6" s="17"/>
      <c r="GP6" s="17"/>
      <c r="GQ6" s="17"/>
      <c r="GR6" s="17"/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17"/>
      <c r="KP6" s="17"/>
      <c r="KQ6" s="17"/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17"/>
      <c r="MT6" s="17"/>
      <c r="MU6" s="17"/>
      <c r="MV6" s="17"/>
      <c r="MW6" s="17"/>
      <c r="MX6" s="17"/>
      <c r="MY6" s="17"/>
      <c r="MZ6" s="17"/>
      <c r="NA6" s="17"/>
      <c r="NB6" s="17"/>
      <c r="NC6" s="17"/>
      <c r="ND6" s="17"/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17"/>
      <c r="OX6" s="17"/>
      <c r="OY6" s="17"/>
      <c r="OZ6" s="17"/>
      <c r="PA6" s="17"/>
      <c r="PB6" s="17"/>
      <c r="PC6" s="17"/>
      <c r="PD6" s="17"/>
      <c r="PE6" s="17"/>
      <c r="PF6" s="17"/>
      <c r="PG6" s="17"/>
      <c r="PH6" s="17"/>
      <c r="PI6" s="17"/>
      <c r="PJ6" s="17"/>
      <c r="PK6" s="17"/>
      <c r="PL6" s="17"/>
      <c r="PM6" s="17"/>
      <c r="PN6" s="17"/>
      <c r="PO6" s="17"/>
      <c r="PP6" s="17"/>
      <c r="PQ6" s="17"/>
      <c r="PR6" s="17"/>
      <c r="PS6" s="17"/>
      <c r="PT6" s="17"/>
      <c r="PU6" s="17"/>
      <c r="PV6" s="17"/>
      <c r="PW6" s="17"/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17"/>
      <c r="RA6" s="17"/>
      <c r="RB6" s="17"/>
      <c r="RC6" s="17"/>
      <c r="RD6" s="17"/>
      <c r="RE6" s="17"/>
      <c r="RF6" s="17"/>
      <c r="RG6" s="17"/>
      <c r="RH6" s="17"/>
      <c r="RI6" s="17"/>
      <c r="RJ6" s="17"/>
      <c r="RK6" s="17"/>
      <c r="RL6" s="17"/>
      <c r="RM6" s="17"/>
      <c r="RN6" s="17"/>
      <c r="RO6" s="17"/>
      <c r="RP6" s="17"/>
      <c r="RQ6" s="17"/>
      <c r="RR6" s="17"/>
      <c r="RS6" s="17"/>
      <c r="RT6" s="17"/>
      <c r="RU6" s="17"/>
      <c r="RV6" s="17"/>
      <c r="RW6" s="17"/>
      <c r="RX6" s="17"/>
      <c r="RY6" s="17"/>
      <c r="RZ6" s="17"/>
      <c r="SA6" s="17"/>
      <c r="SB6" s="17"/>
      <c r="SC6" s="17"/>
      <c r="SD6" s="17"/>
      <c r="SE6" s="17"/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17"/>
      <c r="TQ6" s="17"/>
      <c r="TR6" s="17"/>
      <c r="TS6" s="17"/>
      <c r="TT6" s="17"/>
      <c r="TU6" s="17"/>
      <c r="TV6" s="17"/>
      <c r="TW6" s="17"/>
      <c r="TX6" s="17"/>
      <c r="TY6" s="17"/>
      <c r="TZ6" s="17"/>
      <c r="UA6" s="17"/>
      <c r="UB6" s="17"/>
      <c r="UC6" s="17"/>
      <c r="UD6" s="17"/>
      <c r="UE6" s="17"/>
      <c r="UF6" s="17"/>
      <c r="UG6" s="17"/>
      <c r="UH6" s="17"/>
      <c r="UI6" s="17"/>
      <c r="UJ6" s="17"/>
      <c r="UK6" s="17"/>
      <c r="UL6" s="17"/>
      <c r="UM6" s="17"/>
      <c r="UN6" s="17"/>
      <c r="UO6" s="17"/>
      <c r="UP6" s="17"/>
      <c r="UQ6" s="17"/>
      <c r="UR6" s="17"/>
      <c r="US6" s="17"/>
      <c r="UT6" s="17"/>
      <c r="UU6" s="17"/>
      <c r="UV6" s="17"/>
      <c r="UW6" s="17"/>
      <c r="UX6" s="17"/>
      <c r="UY6" s="17"/>
      <c r="UZ6" s="17"/>
      <c r="VA6" s="17"/>
      <c r="VB6" s="17"/>
      <c r="VC6" s="17"/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17"/>
      <c r="WG6" s="17"/>
      <c r="WH6" s="17"/>
      <c r="WI6" s="17"/>
      <c r="WJ6" s="17"/>
      <c r="WK6" s="17"/>
      <c r="WL6" s="17"/>
      <c r="WM6" s="17"/>
      <c r="WN6" s="17"/>
      <c r="WO6" s="17"/>
      <c r="WP6" s="17"/>
      <c r="WQ6" s="17"/>
      <c r="WR6" s="17"/>
      <c r="WS6" s="17"/>
      <c r="WT6" s="17"/>
      <c r="WU6" s="17"/>
      <c r="WV6" s="17"/>
      <c r="WW6" s="17"/>
      <c r="WX6" s="17"/>
      <c r="WY6" s="17"/>
      <c r="WZ6" s="17"/>
      <c r="XA6" s="17"/>
      <c r="XB6" s="17"/>
      <c r="XC6" s="17"/>
      <c r="XD6" s="17"/>
      <c r="XE6" s="17"/>
      <c r="XF6" s="17"/>
      <c r="XG6" s="17"/>
      <c r="XH6" s="17"/>
      <c r="XI6" s="17"/>
      <c r="XJ6" s="17"/>
      <c r="XK6" s="17"/>
      <c r="XL6" s="17"/>
      <c r="XM6" s="17"/>
      <c r="XN6" s="17"/>
      <c r="XO6" s="17"/>
      <c r="XP6" s="17"/>
      <c r="XQ6" s="17"/>
      <c r="XR6" s="17"/>
      <c r="XS6" s="17"/>
      <c r="XT6" s="17"/>
      <c r="XU6" s="17"/>
      <c r="XV6" s="17"/>
      <c r="XW6" s="17"/>
      <c r="XX6" s="17"/>
      <c r="XY6" s="17"/>
      <c r="XZ6" s="17"/>
      <c r="YA6" s="17"/>
      <c r="YB6" s="17"/>
      <c r="YC6" s="17"/>
      <c r="YD6" s="17"/>
      <c r="YE6" s="17"/>
      <c r="YF6" s="17"/>
      <c r="YG6" s="17"/>
      <c r="YH6" s="17"/>
      <c r="YI6" s="17"/>
      <c r="YJ6" s="17"/>
      <c r="YK6" s="17"/>
      <c r="YL6" s="17"/>
      <c r="YM6" s="17"/>
      <c r="YN6" s="17"/>
      <c r="YO6" s="17"/>
      <c r="YP6" s="17"/>
      <c r="YQ6" s="17"/>
      <c r="YR6" s="17"/>
      <c r="YS6" s="17"/>
      <c r="YT6" s="17"/>
      <c r="YU6" s="17"/>
      <c r="YV6" s="17"/>
      <c r="YW6" s="17"/>
      <c r="YX6" s="17"/>
      <c r="YY6" s="17"/>
      <c r="YZ6" s="17"/>
      <c r="ZA6" s="17"/>
      <c r="ZB6" s="17"/>
      <c r="ZC6" s="17"/>
      <c r="ZD6" s="17"/>
      <c r="ZE6" s="17"/>
      <c r="ZF6" s="17"/>
      <c r="ZG6" s="17"/>
      <c r="ZH6" s="17"/>
      <c r="ZI6" s="17"/>
      <c r="ZJ6" s="17"/>
      <c r="ZK6" s="17"/>
      <c r="ZL6" s="17"/>
      <c r="ZM6" s="17"/>
      <c r="ZN6" s="17"/>
      <c r="ZO6" s="17"/>
      <c r="ZP6" s="17"/>
      <c r="ZQ6" s="17"/>
      <c r="ZR6" s="17"/>
      <c r="ZS6" s="17"/>
      <c r="ZT6" s="17"/>
      <c r="ZU6" s="17"/>
      <c r="ZV6" s="17"/>
      <c r="ZW6" s="17"/>
      <c r="ZX6" s="17"/>
      <c r="ZY6" s="17"/>
      <c r="ZZ6" s="17"/>
      <c r="AAA6" s="17"/>
      <c r="AAB6" s="17"/>
      <c r="AAC6" s="17"/>
      <c r="AAD6" s="17"/>
      <c r="AAE6" s="17"/>
      <c r="AAF6" s="17"/>
      <c r="AAG6" s="17"/>
      <c r="AAH6" s="17"/>
      <c r="AAI6" s="17"/>
      <c r="AAJ6" s="17"/>
      <c r="AAK6" s="17"/>
      <c r="AAL6" s="17"/>
      <c r="AAM6" s="17"/>
      <c r="AAN6" s="17"/>
      <c r="AAO6" s="17"/>
      <c r="AAP6" s="17"/>
      <c r="AAQ6" s="17"/>
      <c r="AAR6" s="17"/>
      <c r="AAS6" s="17"/>
      <c r="AAT6" s="17"/>
      <c r="AAU6" s="17"/>
      <c r="AAV6" s="17"/>
      <c r="AAW6" s="17"/>
      <c r="AAX6" s="17"/>
      <c r="AAY6" s="17"/>
      <c r="AAZ6" s="17"/>
      <c r="ABA6" s="17"/>
      <c r="ABB6" s="17"/>
      <c r="ABC6" s="17"/>
      <c r="ABD6" s="17"/>
      <c r="ABE6" s="17"/>
      <c r="ABF6" s="17"/>
      <c r="ABG6" s="17"/>
      <c r="ABH6" s="17"/>
      <c r="ABI6" s="17"/>
      <c r="ABJ6" s="17"/>
      <c r="ABK6" s="17"/>
      <c r="ABL6" s="17"/>
      <c r="ABM6" s="17"/>
      <c r="ABN6" s="17"/>
      <c r="ABO6" s="17"/>
      <c r="ABP6" s="17"/>
      <c r="ABQ6" s="17"/>
      <c r="ABR6" s="17"/>
      <c r="ABS6" s="17"/>
      <c r="ABT6" s="17"/>
      <c r="ABU6" s="17"/>
      <c r="ABV6" s="17"/>
      <c r="ABW6" s="17"/>
      <c r="ABX6" s="17"/>
      <c r="ABY6" s="17"/>
      <c r="ABZ6" s="17"/>
      <c r="ACA6" s="17"/>
      <c r="ACB6" s="17"/>
      <c r="ACC6" s="17"/>
      <c r="ACD6" s="17"/>
      <c r="ACE6" s="17"/>
      <c r="ACF6" s="17"/>
      <c r="ACG6" s="17"/>
      <c r="ACH6" s="17"/>
      <c r="ACI6" s="17"/>
      <c r="ACJ6" s="17"/>
      <c r="ACK6" s="17"/>
      <c r="ACL6" s="17"/>
      <c r="ACM6" s="17"/>
      <c r="ACN6" s="17"/>
      <c r="ACO6" s="17"/>
      <c r="ACP6" s="17"/>
      <c r="ACQ6" s="17"/>
      <c r="ACR6" s="17"/>
      <c r="ACS6" s="17"/>
      <c r="ACT6" s="17"/>
      <c r="ACU6" s="17"/>
      <c r="ACV6" s="17"/>
      <c r="ACW6" s="17"/>
      <c r="ACX6" s="17"/>
      <c r="ACY6" s="17"/>
      <c r="ACZ6" s="17"/>
      <c r="ADA6" s="17"/>
      <c r="ADB6" s="17"/>
      <c r="ADC6" s="17"/>
      <c r="ADD6" s="17"/>
      <c r="ADE6" s="17"/>
      <c r="ADF6" s="17"/>
      <c r="ADG6" s="17"/>
      <c r="ADH6" s="17"/>
      <c r="ADI6" s="17"/>
      <c r="ADJ6" s="17"/>
      <c r="ADK6" s="17"/>
      <c r="ADL6" s="17"/>
      <c r="ADM6" s="17"/>
      <c r="ADN6" s="17"/>
      <c r="ADO6" s="17"/>
      <c r="ADP6" s="17"/>
      <c r="ADQ6" s="17"/>
      <c r="ADR6" s="17"/>
      <c r="ADS6" s="17"/>
      <c r="ADT6" s="17"/>
      <c r="ADU6" s="17"/>
      <c r="ADV6" s="17"/>
      <c r="ADW6" s="17"/>
      <c r="ADX6" s="17"/>
      <c r="ADY6" s="17"/>
      <c r="ADZ6" s="17"/>
      <c r="AEA6" s="17"/>
      <c r="AEB6" s="17"/>
      <c r="AEC6" s="17"/>
      <c r="AED6" s="17"/>
      <c r="AEE6" s="17"/>
      <c r="AEF6" s="17"/>
      <c r="AEG6" s="17"/>
      <c r="AEH6" s="17"/>
      <c r="AEI6" s="17"/>
      <c r="AEJ6" s="17"/>
      <c r="AEK6" s="17"/>
      <c r="AEL6" s="17"/>
      <c r="AEM6" s="17"/>
      <c r="AEN6" s="17"/>
      <c r="AEO6" s="17"/>
      <c r="AEP6" s="17"/>
      <c r="AEQ6" s="17"/>
      <c r="AER6" s="17"/>
      <c r="AES6" s="17"/>
      <c r="AET6" s="17"/>
      <c r="AEU6" s="17"/>
      <c r="AEV6" s="17"/>
      <c r="AEW6" s="17"/>
      <c r="AEX6" s="17"/>
      <c r="AEY6" s="17"/>
      <c r="AEZ6" s="17"/>
      <c r="AFA6" s="17"/>
      <c r="AFB6" s="17"/>
      <c r="AFC6" s="17"/>
      <c r="AFD6" s="17"/>
      <c r="AFE6" s="17"/>
      <c r="AFF6" s="17"/>
      <c r="AFG6" s="17"/>
      <c r="AFH6" s="17"/>
      <c r="AFI6" s="17"/>
      <c r="AFJ6" s="17"/>
      <c r="AFK6" s="17"/>
      <c r="AFL6" s="17"/>
      <c r="AFM6" s="17"/>
      <c r="AFN6" s="17"/>
      <c r="AFO6" s="17"/>
      <c r="AFP6" s="17"/>
      <c r="AFQ6" s="17"/>
      <c r="AFR6" s="17"/>
      <c r="AFS6" s="17"/>
      <c r="AFT6" s="17"/>
      <c r="AFU6" s="17"/>
      <c r="AFV6" s="17"/>
      <c r="AFW6" s="17"/>
      <c r="AFX6" s="17"/>
      <c r="AFY6" s="17"/>
      <c r="AFZ6" s="17"/>
      <c r="AGA6" s="17"/>
      <c r="AGB6" s="17"/>
      <c r="AGC6" s="17"/>
      <c r="AGD6" s="17"/>
      <c r="AGE6" s="17"/>
      <c r="AGF6" s="17"/>
      <c r="AGG6" s="17"/>
      <c r="AGH6" s="17"/>
      <c r="AGI6" s="17"/>
      <c r="AGJ6" s="17"/>
      <c r="AGK6" s="17"/>
      <c r="AGL6" s="17"/>
      <c r="AGM6" s="17"/>
      <c r="AGN6" s="17"/>
      <c r="AGO6" s="17"/>
      <c r="AGP6" s="17"/>
      <c r="AGQ6" s="17"/>
      <c r="AGR6" s="17"/>
      <c r="AGS6" s="17"/>
      <c r="AGT6" s="17"/>
      <c r="AGU6" s="17"/>
      <c r="AGV6" s="17"/>
      <c r="AGW6" s="17"/>
      <c r="AGX6" s="17"/>
      <c r="AGY6" s="17"/>
      <c r="AGZ6" s="17"/>
      <c r="AHA6" s="17"/>
      <c r="AHB6" s="17"/>
      <c r="AHC6" s="17"/>
      <c r="AHD6" s="17"/>
      <c r="AHE6" s="17"/>
      <c r="AHF6" s="17"/>
      <c r="AHG6" s="17"/>
      <c r="AHH6" s="17"/>
      <c r="AHI6" s="17"/>
      <c r="AHJ6" s="17"/>
      <c r="AHK6" s="17"/>
      <c r="AHL6" s="17"/>
      <c r="AHM6" s="17"/>
      <c r="AHN6" s="17"/>
      <c r="AHO6" s="17"/>
      <c r="AHP6" s="17"/>
      <c r="AHQ6" s="17"/>
      <c r="AHR6" s="17"/>
      <c r="AHS6" s="17"/>
      <c r="AHT6" s="17"/>
      <c r="AHU6" s="17"/>
      <c r="AHV6" s="17"/>
      <c r="AHW6" s="17"/>
      <c r="AHX6" s="17"/>
      <c r="AHY6" s="17"/>
      <c r="AHZ6" s="17"/>
      <c r="AIA6" s="17"/>
      <c r="AIB6" s="17"/>
      <c r="AIC6" s="17"/>
      <c r="AID6" s="17"/>
      <c r="AIE6" s="17"/>
      <c r="AIF6" s="17"/>
      <c r="AIG6" s="17"/>
      <c r="AIH6" s="17"/>
      <c r="AII6" s="17"/>
      <c r="AIJ6" s="17"/>
      <c r="AIK6" s="17"/>
      <c r="AIL6" s="17"/>
      <c r="AIM6" s="17"/>
      <c r="AIN6" s="17"/>
      <c r="AIO6" s="17"/>
      <c r="AIP6" s="17"/>
      <c r="AIQ6" s="17"/>
      <c r="AIR6" s="17"/>
      <c r="AIS6" s="17"/>
      <c r="AIT6" s="17"/>
      <c r="AIU6" s="17"/>
      <c r="AIV6" s="17"/>
      <c r="AIW6" s="17"/>
      <c r="AIX6" s="17"/>
      <c r="AIY6" s="17"/>
      <c r="AIZ6" s="17"/>
      <c r="AJA6" s="17"/>
      <c r="AJB6" s="17"/>
      <c r="AJC6" s="17"/>
      <c r="AJD6" s="17"/>
      <c r="AJE6" s="17"/>
      <c r="AJF6" s="17"/>
      <c r="AJG6" s="17"/>
      <c r="AJH6" s="17"/>
      <c r="AJI6" s="17"/>
      <c r="AJJ6" s="17"/>
      <c r="AJK6" s="17"/>
      <c r="AJL6" s="17"/>
      <c r="AJM6" s="17"/>
      <c r="AJN6" s="17"/>
      <c r="AJO6" s="17"/>
      <c r="AJP6" s="17"/>
      <c r="AJQ6" s="17"/>
      <c r="AJR6" s="17"/>
      <c r="AJS6" s="17"/>
      <c r="AJT6" s="17"/>
      <c r="AJU6" s="17"/>
      <c r="AJV6" s="17"/>
      <c r="AJW6" s="17"/>
      <c r="AJX6" s="17"/>
      <c r="AJY6" s="17"/>
      <c r="AJZ6" s="17"/>
      <c r="AKA6" s="17"/>
      <c r="AKB6" s="17"/>
      <c r="AKC6" s="17"/>
      <c r="AKD6" s="17"/>
      <c r="AKE6" s="17"/>
      <c r="AKF6" s="17"/>
      <c r="AKG6" s="17"/>
      <c r="AKH6" s="17"/>
      <c r="AKI6" s="17"/>
      <c r="AKJ6" s="17"/>
      <c r="AKK6" s="17"/>
      <c r="AKL6" s="17"/>
      <c r="AKM6" s="17"/>
      <c r="AKN6" s="17"/>
      <c r="AKO6" s="17"/>
      <c r="AKP6" s="17"/>
      <c r="AKQ6" s="17"/>
      <c r="AKR6" s="17"/>
      <c r="AKS6" s="17"/>
      <c r="AKT6" s="17"/>
      <c r="AKU6" s="17"/>
      <c r="AKV6" s="17"/>
      <c r="AKW6" s="17"/>
      <c r="AKX6" s="17"/>
      <c r="AKY6" s="17"/>
      <c r="AKZ6" s="17"/>
      <c r="ALA6" s="17"/>
      <c r="ALB6" s="17"/>
      <c r="ALC6" s="17"/>
      <c r="ALD6" s="17"/>
      <c r="ALE6" s="17"/>
      <c r="ALF6" s="17"/>
      <c r="ALG6" s="17"/>
      <c r="ALH6" s="17"/>
      <c r="ALI6" s="17"/>
      <c r="ALJ6" s="17"/>
      <c r="ALK6" s="17"/>
      <c r="ALL6" s="17"/>
      <c r="ALM6" s="17"/>
      <c r="ALN6" s="17"/>
      <c r="ALO6" s="17"/>
      <c r="ALP6" s="17"/>
      <c r="ALQ6" s="17"/>
      <c r="ALR6" s="17"/>
      <c r="ALS6" s="17"/>
      <c r="ALT6" s="17"/>
      <c r="ALU6" s="17"/>
      <c r="ALV6" s="17"/>
      <c r="ALW6" s="17"/>
      <c r="ALX6" s="17"/>
      <c r="ALY6" s="17"/>
      <c r="ALZ6" s="17"/>
      <c r="AMA6" s="17"/>
      <c r="AMB6" s="17"/>
      <c r="AMC6" s="17"/>
      <c r="AMD6" s="17"/>
      <c r="AME6" s="17"/>
      <c r="AMF6" s="17"/>
      <c r="AMG6" s="17"/>
      <c r="AMH6" s="17"/>
      <c r="AMI6" s="17"/>
    </row>
    <row r="7" spans="1:1023" s="18" customFormat="1" ht="11.25" x14ac:dyDescent="0.2">
      <c r="A7" s="15"/>
      <c r="B7" s="24"/>
      <c r="C7" s="29"/>
      <c r="D7" s="26"/>
      <c r="E7" s="27" t="s">
        <v>60</v>
      </c>
      <c r="F7" s="26">
        <v>1</v>
      </c>
      <c r="G7" s="30">
        <v>165.5</v>
      </c>
      <c r="H7" s="31">
        <f>Table1[[#This Row],[LENGTH (in.)]]*Table1[[#This Row],[QTY.]]</f>
        <v>165.5</v>
      </c>
      <c r="I7" s="16"/>
      <c r="J7" s="16"/>
      <c r="K7" s="16"/>
      <c r="L7" s="19"/>
      <c r="M7" s="23" t="s">
        <v>86</v>
      </c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17"/>
      <c r="MT7" s="17"/>
      <c r="MU7" s="17"/>
      <c r="MV7" s="17"/>
      <c r="MW7" s="17"/>
      <c r="MX7" s="17"/>
      <c r="MY7" s="17"/>
      <c r="MZ7" s="17"/>
      <c r="NA7" s="17"/>
      <c r="NB7" s="17"/>
      <c r="NC7" s="17"/>
      <c r="ND7" s="17"/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17"/>
      <c r="OX7" s="17"/>
      <c r="OY7" s="17"/>
      <c r="OZ7" s="17"/>
      <c r="PA7" s="17"/>
      <c r="PB7" s="17"/>
      <c r="PC7" s="17"/>
      <c r="PD7" s="17"/>
      <c r="PE7" s="17"/>
      <c r="PF7" s="17"/>
      <c r="PG7" s="17"/>
      <c r="PH7" s="17"/>
      <c r="PI7" s="17"/>
      <c r="PJ7" s="17"/>
      <c r="PK7" s="17"/>
      <c r="PL7" s="17"/>
      <c r="PM7" s="17"/>
      <c r="PN7" s="17"/>
      <c r="PO7" s="17"/>
      <c r="PP7" s="17"/>
      <c r="PQ7" s="17"/>
      <c r="PR7" s="17"/>
      <c r="PS7" s="17"/>
      <c r="PT7" s="17"/>
      <c r="PU7" s="17"/>
      <c r="PV7" s="17"/>
      <c r="PW7" s="17"/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17"/>
      <c r="RA7" s="17"/>
      <c r="RB7" s="17"/>
      <c r="RC7" s="17"/>
      <c r="RD7" s="17"/>
      <c r="RE7" s="17"/>
      <c r="RF7" s="17"/>
      <c r="RG7" s="17"/>
      <c r="RH7" s="17"/>
      <c r="RI7" s="17"/>
      <c r="RJ7" s="17"/>
      <c r="RK7" s="17"/>
      <c r="RL7" s="17"/>
      <c r="RM7" s="17"/>
      <c r="RN7" s="17"/>
      <c r="RO7" s="17"/>
      <c r="RP7" s="17"/>
      <c r="RQ7" s="17"/>
      <c r="RR7" s="17"/>
      <c r="RS7" s="17"/>
      <c r="RT7" s="17"/>
      <c r="RU7" s="17"/>
      <c r="RV7" s="17"/>
      <c r="RW7" s="17"/>
      <c r="RX7" s="17"/>
      <c r="RY7" s="17"/>
      <c r="RZ7" s="17"/>
      <c r="SA7" s="17"/>
      <c r="SB7" s="17"/>
      <c r="SC7" s="17"/>
      <c r="SD7" s="17"/>
      <c r="SE7" s="17"/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17"/>
      <c r="TQ7" s="17"/>
      <c r="TR7" s="17"/>
      <c r="TS7" s="17"/>
      <c r="TT7" s="17"/>
      <c r="TU7" s="17"/>
      <c r="TV7" s="17"/>
      <c r="TW7" s="17"/>
      <c r="TX7" s="17"/>
      <c r="TY7" s="17"/>
      <c r="TZ7" s="17"/>
      <c r="UA7" s="17"/>
      <c r="UB7" s="17"/>
      <c r="UC7" s="17"/>
      <c r="UD7" s="17"/>
      <c r="UE7" s="17"/>
      <c r="UF7" s="17"/>
      <c r="UG7" s="17"/>
      <c r="UH7" s="17"/>
      <c r="UI7" s="17"/>
      <c r="UJ7" s="17"/>
      <c r="UK7" s="17"/>
      <c r="UL7" s="17"/>
      <c r="UM7" s="17"/>
      <c r="UN7" s="17"/>
      <c r="UO7" s="17"/>
      <c r="UP7" s="17"/>
      <c r="UQ7" s="17"/>
      <c r="UR7" s="17"/>
      <c r="US7" s="17"/>
      <c r="UT7" s="17"/>
      <c r="UU7" s="17"/>
      <c r="UV7" s="17"/>
      <c r="UW7" s="17"/>
      <c r="UX7" s="17"/>
      <c r="UY7" s="17"/>
      <c r="UZ7" s="17"/>
      <c r="VA7" s="17"/>
      <c r="VB7" s="17"/>
      <c r="VC7" s="17"/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17"/>
      <c r="WG7" s="17"/>
      <c r="WH7" s="17"/>
      <c r="WI7" s="17"/>
      <c r="WJ7" s="17"/>
      <c r="WK7" s="17"/>
      <c r="WL7" s="17"/>
      <c r="WM7" s="17"/>
      <c r="WN7" s="17"/>
      <c r="WO7" s="17"/>
      <c r="WP7" s="17"/>
      <c r="WQ7" s="17"/>
      <c r="WR7" s="17"/>
      <c r="WS7" s="17"/>
      <c r="WT7" s="17"/>
      <c r="WU7" s="17"/>
      <c r="WV7" s="17"/>
      <c r="WW7" s="17"/>
      <c r="WX7" s="17"/>
      <c r="WY7" s="17"/>
      <c r="WZ7" s="17"/>
      <c r="XA7" s="17"/>
      <c r="XB7" s="17"/>
      <c r="XC7" s="17"/>
      <c r="XD7" s="17"/>
      <c r="XE7" s="17"/>
      <c r="XF7" s="17"/>
      <c r="XG7" s="17"/>
      <c r="XH7" s="17"/>
      <c r="XI7" s="17"/>
      <c r="XJ7" s="17"/>
      <c r="XK7" s="17"/>
      <c r="XL7" s="17"/>
      <c r="XM7" s="17"/>
      <c r="XN7" s="17"/>
      <c r="XO7" s="17"/>
      <c r="XP7" s="17"/>
      <c r="XQ7" s="17"/>
      <c r="XR7" s="17"/>
      <c r="XS7" s="17"/>
      <c r="XT7" s="17"/>
      <c r="XU7" s="17"/>
      <c r="XV7" s="17"/>
      <c r="XW7" s="17"/>
      <c r="XX7" s="17"/>
      <c r="XY7" s="17"/>
      <c r="XZ7" s="17"/>
      <c r="YA7" s="17"/>
      <c r="YB7" s="17"/>
      <c r="YC7" s="17"/>
      <c r="YD7" s="17"/>
      <c r="YE7" s="17"/>
      <c r="YF7" s="17"/>
      <c r="YG7" s="17"/>
      <c r="YH7" s="17"/>
      <c r="YI7" s="17"/>
      <c r="YJ7" s="17"/>
      <c r="YK7" s="17"/>
      <c r="YL7" s="17"/>
      <c r="YM7" s="17"/>
      <c r="YN7" s="17"/>
      <c r="YO7" s="17"/>
      <c r="YP7" s="17"/>
      <c r="YQ7" s="17"/>
      <c r="YR7" s="17"/>
      <c r="YS7" s="17"/>
      <c r="YT7" s="17"/>
      <c r="YU7" s="17"/>
      <c r="YV7" s="17"/>
      <c r="YW7" s="17"/>
      <c r="YX7" s="17"/>
      <c r="YY7" s="17"/>
      <c r="YZ7" s="17"/>
      <c r="ZA7" s="17"/>
      <c r="ZB7" s="17"/>
      <c r="ZC7" s="17"/>
      <c r="ZD7" s="17"/>
      <c r="ZE7" s="17"/>
      <c r="ZF7" s="17"/>
      <c r="ZG7" s="17"/>
      <c r="ZH7" s="17"/>
      <c r="ZI7" s="17"/>
      <c r="ZJ7" s="17"/>
      <c r="ZK7" s="17"/>
      <c r="ZL7" s="17"/>
      <c r="ZM7" s="17"/>
      <c r="ZN7" s="17"/>
      <c r="ZO7" s="17"/>
      <c r="ZP7" s="17"/>
      <c r="ZQ7" s="17"/>
      <c r="ZR7" s="17"/>
      <c r="ZS7" s="17"/>
      <c r="ZT7" s="17"/>
      <c r="ZU7" s="17"/>
      <c r="ZV7" s="17"/>
      <c r="ZW7" s="17"/>
      <c r="ZX7" s="17"/>
      <c r="ZY7" s="17"/>
      <c r="ZZ7" s="17"/>
      <c r="AAA7" s="17"/>
      <c r="AAB7" s="17"/>
      <c r="AAC7" s="17"/>
      <c r="AAD7" s="17"/>
      <c r="AAE7" s="17"/>
      <c r="AAF7" s="17"/>
      <c r="AAG7" s="17"/>
      <c r="AAH7" s="17"/>
      <c r="AAI7" s="17"/>
      <c r="AAJ7" s="17"/>
      <c r="AAK7" s="17"/>
      <c r="AAL7" s="17"/>
      <c r="AAM7" s="17"/>
      <c r="AAN7" s="17"/>
      <c r="AAO7" s="17"/>
      <c r="AAP7" s="17"/>
      <c r="AAQ7" s="17"/>
      <c r="AAR7" s="17"/>
      <c r="AAS7" s="17"/>
      <c r="AAT7" s="17"/>
      <c r="AAU7" s="17"/>
      <c r="AAV7" s="17"/>
      <c r="AAW7" s="17"/>
      <c r="AAX7" s="17"/>
      <c r="AAY7" s="17"/>
      <c r="AAZ7" s="17"/>
      <c r="ABA7" s="17"/>
      <c r="ABB7" s="17"/>
      <c r="ABC7" s="17"/>
      <c r="ABD7" s="17"/>
      <c r="ABE7" s="17"/>
      <c r="ABF7" s="17"/>
      <c r="ABG7" s="17"/>
      <c r="ABH7" s="17"/>
      <c r="ABI7" s="17"/>
      <c r="ABJ7" s="17"/>
      <c r="ABK7" s="17"/>
      <c r="ABL7" s="17"/>
      <c r="ABM7" s="17"/>
      <c r="ABN7" s="17"/>
      <c r="ABO7" s="17"/>
      <c r="ABP7" s="17"/>
      <c r="ABQ7" s="17"/>
      <c r="ABR7" s="17"/>
      <c r="ABS7" s="17"/>
      <c r="ABT7" s="17"/>
      <c r="ABU7" s="17"/>
      <c r="ABV7" s="17"/>
      <c r="ABW7" s="17"/>
      <c r="ABX7" s="17"/>
      <c r="ABY7" s="17"/>
      <c r="ABZ7" s="17"/>
      <c r="ACA7" s="17"/>
      <c r="ACB7" s="17"/>
      <c r="ACC7" s="17"/>
      <c r="ACD7" s="17"/>
      <c r="ACE7" s="17"/>
      <c r="ACF7" s="17"/>
      <c r="ACG7" s="17"/>
      <c r="ACH7" s="17"/>
      <c r="ACI7" s="17"/>
      <c r="ACJ7" s="17"/>
      <c r="ACK7" s="17"/>
      <c r="ACL7" s="17"/>
      <c r="ACM7" s="17"/>
      <c r="ACN7" s="17"/>
      <c r="ACO7" s="17"/>
      <c r="ACP7" s="17"/>
      <c r="ACQ7" s="17"/>
      <c r="ACR7" s="17"/>
      <c r="ACS7" s="17"/>
      <c r="ACT7" s="17"/>
      <c r="ACU7" s="17"/>
      <c r="ACV7" s="17"/>
      <c r="ACW7" s="17"/>
      <c r="ACX7" s="17"/>
      <c r="ACY7" s="17"/>
      <c r="ACZ7" s="17"/>
      <c r="ADA7" s="17"/>
      <c r="ADB7" s="17"/>
      <c r="ADC7" s="17"/>
      <c r="ADD7" s="17"/>
      <c r="ADE7" s="17"/>
      <c r="ADF7" s="17"/>
      <c r="ADG7" s="17"/>
      <c r="ADH7" s="17"/>
      <c r="ADI7" s="17"/>
      <c r="ADJ7" s="17"/>
      <c r="ADK7" s="17"/>
      <c r="ADL7" s="17"/>
      <c r="ADM7" s="17"/>
      <c r="ADN7" s="17"/>
      <c r="ADO7" s="17"/>
      <c r="ADP7" s="17"/>
      <c r="ADQ7" s="17"/>
      <c r="ADR7" s="17"/>
      <c r="ADS7" s="17"/>
      <c r="ADT7" s="17"/>
      <c r="ADU7" s="17"/>
      <c r="ADV7" s="17"/>
      <c r="ADW7" s="17"/>
      <c r="ADX7" s="17"/>
      <c r="ADY7" s="17"/>
      <c r="ADZ7" s="17"/>
      <c r="AEA7" s="17"/>
      <c r="AEB7" s="17"/>
      <c r="AEC7" s="17"/>
      <c r="AED7" s="17"/>
      <c r="AEE7" s="17"/>
      <c r="AEF7" s="17"/>
      <c r="AEG7" s="17"/>
      <c r="AEH7" s="17"/>
      <c r="AEI7" s="17"/>
      <c r="AEJ7" s="17"/>
      <c r="AEK7" s="17"/>
      <c r="AEL7" s="17"/>
      <c r="AEM7" s="17"/>
      <c r="AEN7" s="17"/>
      <c r="AEO7" s="17"/>
      <c r="AEP7" s="17"/>
      <c r="AEQ7" s="17"/>
      <c r="AER7" s="17"/>
      <c r="AES7" s="17"/>
      <c r="AET7" s="17"/>
      <c r="AEU7" s="17"/>
      <c r="AEV7" s="17"/>
      <c r="AEW7" s="17"/>
      <c r="AEX7" s="17"/>
      <c r="AEY7" s="17"/>
      <c r="AEZ7" s="17"/>
      <c r="AFA7" s="17"/>
      <c r="AFB7" s="17"/>
      <c r="AFC7" s="17"/>
      <c r="AFD7" s="17"/>
      <c r="AFE7" s="17"/>
      <c r="AFF7" s="17"/>
      <c r="AFG7" s="17"/>
      <c r="AFH7" s="17"/>
      <c r="AFI7" s="17"/>
      <c r="AFJ7" s="17"/>
      <c r="AFK7" s="17"/>
      <c r="AFL7" s="17"/>
      <c r="AFM7" s="17"/>
      <c r="AFN7" s="17"/>
      <c r="AFO7" s="17"/>
      <c r="AFP7" s="17"/>
      <c r="AFQ7" s="17"/>
      <c r="AFR7" s="17"/>
      <c r="AFS7" s="17"/>
      <c r="AFT7" s="17"/>
      <c r="AFU7" s="17"/>
      <c r="AFV7" s="17"/>
      <c r="AFW7" s="17"/>
      <c r="AFX7" s="17"/>
      <c r="AFY7" s="17"/>
      <c r="AFZ7" s="17"/>
      <c r="AGA7" s="17"/>
      <c r="AGB7" s="17"/>
      <c r="AGC7" s="17"/>
      <c r="AGD7" s="17"/>
      <c r="AGE7" s="17"/>
      <c r="AGF7" s="17"/>
      <c r="AGG7" s="17"/>
      <c r="AGH7" s="17"/>
      <c r="AGI7" s="17"/>
      <c r="AGJ7" s="17"/>
      <c r="AGK7" s="17"/>
      <c r="AGL7" s="17"/>
      <c r="AGM7" s="17"/>
      <c r="AGN7" s="17"/>
      <c r="AGO7" s="17"/>
      <c r="AGP7" s="17"/>
      <c r="AGQ7" s="17"/>
      <c r="AGR7" s="17"/>
      <c r="AGS7" s="17"/>
      <c r="AGT7" s="17"/>
      <c r="AGU7" s="17"/>
      <c r="AGV7" s="17"/>
      <c r="AGW7" s="17"/>
      <c r="AGX7" s="17"/>
      <c r="AGY7" s="17"/>
      <c r="AGZ7" s="17"/>
      <c r="AHA7" s="17"/>
      <c r="AHB7" s="17"/>
      <c r="AHC7" s="17"/>
      <c r="AHD7" s="17"/>
      <c r="AHE7" s="17"/>
      <c r="AHF7" s="17"/>
      <c r="AHG7" s="17"/>
      <c r="AHH7" s="17"/>
      <c r="AHI7" s="17"/>
      <c r="AHJ7" s="17"/>
      <c r="AHK7" s="17"/>
      <c r="AHL7" s="17"/>
      <c r="AHM7" s="17"/>
      <c r="AHN7" s="17"/>
      <c r="AHO7" s="17"/>
      <c r="AHP7" s="17"/>
      <c r="AHQ7" s="17"/>
      <c r="AHR7" s="17"/>
      <c r="AHS7" s="17"/>
      <c r="AHT7" s="17"/>
      <c r="AHU7" s="17"/>
      <c r="AHV7" s="17"/>
      <c r="AHW7" s="17"/>
      <c r="AHX7" s="17"/>
      <c r="AHY7" s="17"/>
      <c r="AHZ7" s="17"/>
      <c r="AIA7" s="17"/>
      <c r="AIB7" s="17"/>
      <c r="AIC7" s="17"/>
      <c r="AID7" s="17"/>
      <c r="AIE7" s="17"/>
      <c r="AIF7" s="17"/>
      <c r="AIG7" s="17"/>
      <c r="AIH7" s="17"/>
      <c r="AII7" s="17"/>
      <c r="AIJ7" s="17"/>
      <c r="AIK7" s="17"/>
      <c r="AIL7" s="17"/>
      <c r="AIM7" s="17"/>
      <c r="AIN7" s="17"/>
      <c r="AIO7" s="17"/>
      <c r="AIP7" s="17"/>
      <c r="AIQ7" s="17"/>
      <c r="AIR7" s="17"/>
      <c r="AIS7" s="17"/>
      <c r="AIT7" s="17"/>
      <c r="AIU7" s="17"/>
      <c r="AIV7" s="17"/>
      <c r="AIW7" s="17"/>
      <c r="AIX7" s="17"/>
      <c r="AIY7" s="17"/>
      <c r="AIZ7" s="17"/>
      <c r="AJA7" s="17"/>
      <c r="AJB7" s="17"/>
      <c r="AJC7" s="17"/>
      <c r="AJD7" s="17"/>
      <c r="AJE7" s="17"/>
      <c r="AJF7" s="17"/>
      <c r="AJG7" s="17"/>
      <c r="AJH7" s="17"/>
      <c r="AJI7" s="17"/>
      <c r="AJJ7" s="17"/>
      <c r="AJK7" s="17"/>
      <c r="AJL7" s="17"/>
      <c r="AJM7" s="17"/>
      <c r="AJN7" s="17"/>
      <c r="AJO7" s="17"/>
      <c r="AJP7" s="17"/>
      <c r="AJQ7" s="17"/>
      <c r="AJR7" s="17"/>
      <c r="AJS7" s="17"/>
      <c r="AJT7" s="17"/>
      <c r="AJU7" s="17"/>
      <c r="AJV7" s="17"/>
      <c r="AJW7" s="17"/>
      <c r="AJX7" s="17"/>
      <c r="AJY7" s="17"/>
      <c r="AJZ7" s="17"/>
      <c r="AKA7" s="17"/>
      <c r="AKB7" s="17"/>
      <c r="AKC7" s="17"/>
      <c r="AKD7" s="17"/>
      <c r="AKE7" s="17"/>
      <c r="AKF7" s="17"/>
      <c r="AKG7" s="17"/>
      <c r="AKH7" s="17"/>
      <c r="AKI7" s="17"/>
      <c r="AKJ7" s="17"/>
      <c r="AKK7" s="17"/>
      <c r="AKL7" s="17"/>
      <c r="AKM7" s="17"/>
      <c r="AKN7" s="17"/>
      <c r="AKO7" s="17"/>
      <c r="AKP7" s="17"/>
      <c r="AKQ7" s="17"/>
      <c r="AKR7" s="17"/>
      <c r="AKS7" s="17"/>
      <c r="AKT7" s="17"/>
      <c r="AKU7" s="17"/>
      <c r="AKV7" s="17"/>
      <c r="AKW7" s="17"/>
      <c r="AKX7" s="17"/>
      <c r="AKY7" s="17"/>
      <c r="AKZ7" s="17"/>
      <c r="ALA7" s="17"/>
      <c r="ALB7" s="17"/>
      <c r="ALC7" s="17"/>
      <c r="ALD7" s="17"/>
      <c r="ALE7" s="17"/>
      <c r="ALF7" s="17"/>
      <c r="ALG7" s="17"/>
      <c r="ALH7" s="17"/>
      <c r="ALI7" s="17"/>
      <c r="ALJ7" s="17"/>
      <c r="ALK7" s="17"/>
      <c r="ALL7" s="17"/>
      <c r="ALM7" s="17"/>
      <c r="ALN7" s="17"/>
      <c r="ALO7" s="17"/>
      <c r="ALP7" s="17"/>
      <c r="ALQ7" s="17"/>
      <c r="ALR7" s="17"/>
      <c r="ALS7" s="17"/>
      <c r="ALT7" s="17"/>
      <c r="ALU7" s="17"/>
      <c r="ALV7" s="17"/>
      <c r="ALW7" s="17"/>
      <c r="ALX7" s="17"/>
      <c r="ALY7" s="17"/>
      <c r="ALZ7" s="17"/>
      <c r="AMA7" s="17"/>
      <c r="AMB7" s="17"/>
      <c r="AMC7" s="17"/>
      <c r="AMD7" s="17"/>
      <c r="AME7" s="17"/>
      <c r="AMF7" s="17"/>
      <c r="AMG7" s="17"/>
      <c r="AMH7" s="17"/>
      <c r="AMI7" s="17"/>
    </row>
    <row r="8" spans="1:1023" s="18" customFormat="1" ht="11.25" x14ac:dyDescent="0.2">
      <c r="A8" s="15"/>
      <c r="B8" s="24"/>
      <c r="C8" s="25"/>
      <c r="D8" s="26"/>
      <c r="E8" s="27" t="s">
        <v>60</v>
      </c>
      <c r="F8" s="26">
        <v>1</v>
      </c>
      <c r="G8" s="28">
        <v>165.5</v>
      </c>
      <c r="H8" s="31">
        <f>Table1[[#This Row],[LENGTH (in.)]]*Table1[[#This Row],[QTY.]]</f>
        <v>165.5</v>
      </c>
      <c r="I8" s="16"/>
      <c r="J8" s="16"/>
      <c r="K8" s="16"/>
      <c r="L8" s="19"/>
      <c r="M8" s="23" t="s">
        <v>87</v>
      </c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17"/>
      <c r="MT8" s="17"/>
      <c r="MU8" s="17"/>
      <c r="MV8" s="17"/>
      <c r="MW8" s="17"/>
      <c r="MX8" s="17"/>
      <c r="MY8" s="17"/>
      <c r="MZ8" s="17"/>
      <c r="NA8" s="17"/>
      <c r="NB8" s="17"/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17"/>
      <c r="OX8" s="17"/>
      <c r="OY8" s="17"/>
      <c r="OZ8" s="17"/>
      <c r="PA8" s="17"/>
      <c r="PB8" s="17"/>
      <c r="PC8" s="17"/>
      <c r="PD8" s="17"/>
      <c r="PE8" s="17"/>
      <c r="PF8" s="17"/>
      <c r="PG8" s="17"/>
      <c r="PH8" s="17"/>
      <c r="PI8" s="17"/>
      <c r="PJ8" s="17"/>
      <c r="PK8" s="17"/>
      <c r="PL8" s="17"/>
      <c r="PM8" s="17"/>
      <c r="PN8" s="17"/>
      <c r="PO8" s="17"/>
      <c r="PP8" s="17"/>
      <c r="PQ8" s="17"/>
      <c r="PR8" s="17"/>
      <c r="PS8" s="17"/>
      <c r="PT8" s="17"/>
      <c r="PU8" s="17"/>
      <c r="PV8" s="17"/>
      <c r="PW8" s="17"/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17"/>
      <c r="RA8" s="17"/>
      <c r="RB8" s="17"/>
      <c r="RC8" s="17"/>
      <c r="RD8" s="17"/>
      <c r="RE8" s="17"/>
      <c r="RF8" s="17"/>
      <c r="RG8" s="17"/>
      <c r="RH8" s="17"/>
      <c r="RI8" s="17"/>
      <c r="RJ8" s="17"/>
      <c r="RK8" s="17"/>
      <c r="RL8" s="17"/>
      <c r="RM8" s="17"/>
      <c r="RN8" s="17"/>
      <c r="RO8" s="17"/>
      <c r="RP8" s="17"/>
      <c r="RQ8" s="17"/>
      <c r="RR8" s="17"/>
      <c r="RS8" s="17"/>
      <c r="RT8" s="17"/>
      <c r="RU8" s="17"/>
      <c r="RV8" s="17"/>
      <c r="RW8" s="17"/>
      <c r="RX8" s="17"/>
      <c r="RY8" s="17"/>
      <c r="RZ8" s="17"/>
      <c r="SA8" s="17"/>
      <c r="SB8" s="17"/>
      <c r="SC8" s="17"/>
      <c r="SD8" s="17"/>
      <c r="SE8" s="17"/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17"/>
      <c r="TQ8" s="17"/>
      <c r="TR8" s="17"/>
      <c r="TS8" s="17"/>
      <c r="TT8" s="17"/>
      <c r="TU8" s="17"/>
      <c r="TV8" s="17"/>
      <c r="TW8" s="17"/>
      <c r="TX8" s="17"/>
      <c r="TY8" s="17"/>
      <c r="TZ8" s="17"/>
      <c r="UA8" s="17"/>
      <c r="UB8" s="17"/>
      <c r="UC8" s="17"/>
      <c r="UD8" s="17"/>
      <c r="UE8" s="17"/>
      <c r="UF8" s="17"/>
      <c r="UG8" s="17"/>
      <c r="UH8" s="17"/>
      <c r="UI8" s="17"/>
      <c r="UJ8" s="17"/>
      <c r="UK8" s="17"/>
      <c r="UL8" s="17"/>
      <c r="UM8" s="17"/>
      <c r="UN8" s="17"/>
      <c r="UO8" s="17"/>
      <c r="UP8" s="17"/>
      <c r="UQ8" s="17"/>
      <c r="UR8" s="17"/>
      <c r="US8" s="17"/>
      <c r="UT8" s="17"/>
      <c r="UU8" s="17"/>
      <c r="UV8" s="17"/>
      <c r="UW8" s="17"/>
      <c r="UX8" s="17"/>
      <c r="UY8" s="17"/>
      <c r="UZ8" s="17"/>
      <c r="VA8" s="17"/>
      <c r="VB8" s="17"/>
      <c r="VC8" s="17"/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17"/>
      <c r="WG8" s="17"/>
      <c r="WH8" s="17"/>
      <c r="WI8" s="17"/>
      <c r="WJ8" s="17"/>
      <c r="WK8" s="17"/>
      <c r="WL8" s="17"/>
      <c r="WM8" s="17"/>
      <c r="WN8" s="17"/>
      <c r="WO8" s="17"/>
      <c r="WP8" s="17"/>
      <c r="WQ8" s="17"/>
      <c r="WR8" s="17"/>
      <c r="WS8" s="17"/>
      <c r="WT8" s="17"/>
      <c r="WU8" s="17"/>
      <c r="WV8" s="17"/>
      <c r="WW8" s="17"/>
      <c r="WX8" s="17"/>
      <c r="WY8" s="17"/>
      <c r="WZ8" s="17"/>
      <c r="XA8" s="17"/>
      <c r="XB8" s="17"/>
      <c r="XC8" s="17"/>
      <c r="XD8" s="17"/>
      <c r="XE8" s="17"/>
      <c r="XF8" s="17"/>
      <c r="XG8" s="17"/>
      <c r="XH8" s="17"/>
      <c r="XI8" s="17"/>
      <c r="XJ8" s="17"/>
      <c r="XK8" s="17"/>
      <c r="XL8" s="17"/>
      <c r="XM8" s="17"/>
      <c r="XN8" s="17"/>
      <c r="XO8" s="17"/>
      <c r="XP8" s="17"/>
      <c r="XQ8" s="17"/>
      <c r="XR8" s="17"/>
      <c r="XS8" s="17"/>
      <c r="XT8" s="17"/>
      <c r="XU8" s="17"/>
      <c r="XV8" s="17"/>
      <c r="XW8" s="17"/>
      <c r="XX8" s="17"/>
      <c r="XY8" s="17"/>
      <c r="XZ8" s="17"/>
      <c r="YA8" s="17"/>
      <c r="YB8" s="17"/>
      <c r="YC8" s="17"/>
      <c r="YD8" s="17"/>
      <c r="YE8" s="17"/>
      <c r="YF8" s="17"/>
      <c r="YG8" s="17"/>
      <c r="YH8" s="17"/>
      <c r="YI8" s="17"/>
      <c r="YJ8" s="17"/>
      <c r="YK8" s="17"/>
      <c r="YL8" s="17"/>
      <c r="YM8" s="17"/>
      <c r="YN8" s="17"/>
      <c r="YO8" s="17"/>
      <c r="YP8" s="17"/>
      <c r="YQ8" s="17"/>
      <c r="YR8" s="17"/>
      <c r="YS8" s="17"/>
      <c r="YT8" s="17"/>
      <c r="YU8" s="17"/>
      <c r="YV8" s="17"/>
      <c r="YW8" s="17"/>
      <c r="YX8" s="17"/>
      <c r="YY8" s="17"/>
      <c r="YZ8" s="17"/>
      <c r="ZA8" s="17"/>
      <c r="ZB8" s="17"/>
      <c r="ZC8" s="17"/>
      <c r="ZD8" s="17"/>
      <c r="ZE8" s="17"/>
      <c r="ZF8" s="17"/>
      <c r="ZG8" s="17"/>
      <c r="ZH8" s="17"/>
      <c r="ZI8" s="17"/>
      <c r="ZJ8" s="17"/>
      <c r="ZK8" s="17"/>
      <c r="ZL8" s="17"/>
      <c r="ZM8" s="17"/>
      <c r="ZN8" s="17"/>
      <c r="ZO8" s="17"/>
      <c r="ZP8" s="17"/>
      <c r="ZQ8" s="17"/>
      <c r="ZR8" s="17"/>
      <c r="ZS8" s="17"/>
      <c r="ZT8" s="17"/>
      <c r="ZU8" s="17"/>
      <c r="ZV8" s="17"/>
      <c r="ZW8" s="17"/>
      <c r="ZX8" s="17"/>
      <c r="ZY8" s="17"/>
      <c r="ZZ8" s="17"/>
      <c r="AAA8" s="17"/>
      <c r="AAB8" s="17"/>
      <c r="AAC8" s="17"/>
      <c r="AAD8" s="17"/>
      <c r="AAE8" s="17"/>
      <c r="AAF8" s="17"/>
      <c r="AAG8" s="17"/>
      <c r="AAH8" s="17"/>
      <c r="AAI8" s="17"/>
      <c r="AAJ8" s="17"/>
      <c r="AAK8" s="17"/>
      <c r="AAL8" s="17"/>
      <c r="AAM8" s="17"/>
      <c r="AAN8" s="17"/>
      <c r="AAO8" s="17"/>
      <c r="AAP8" s="17"/>
      <c r="AAQ8" s="17"/>
      <c r="AAR8" s="17"/>
      <c r="AAS8" s="17"/>
      <c r="AAT8" s="17"/>
      <c r="AAU8" s="17"/>
      <c r="AAV8" s="17"/>
      <c r="AAW8" s="17"/>
      <c r="AAX8" s="17"/>
      <c r="AAY8" s="17"/>
      <c r="AAZ8" s="17"/>
      <c r="ABA8" s="17"/>
      <c r="ABB8" s="17"/>
      <c r="ABC8" s="17"/>
      <c r="ABD8" s="17"/>
      <c r="ABE8" s="17"/>
      <c r="ABF8" s="17"/>
      <c r="ABG8" s="17"/>
      <c r="ABH8" s="17"/>
      <c r="ABI8" s="17"/>
      <c r="ABJ8" s="17"/>
      <c r="ABK8" s="17"/>
      <c r="ABL8" s="17"/>
      <c r="ABM8" s="17"/>
      <c r="ABN8" s="17"/>
      <c r="ABO8" s="17"/>
      <c r="ABP8" s="17"/>
      <c r="ABQ8" s="17"/>
      <c r="ABR8" s="17"/>
      <c r="ABS8" s="17"/>
      <c r="ABT8" s="17"/>
      <c r="ABU8" s="17"/>
      <c r="ABV8" s="17"/>
      <c r="ABW8" s="17"/>
      <c r="ABX8" s="17"/>
      <c r="ABY8" s="17"/>
      <c r="ABZ8" s="17"/>
      <c r="ACA8" s="17"/>
      <c r="ACB8" s="17"/>
      <c r="ACC8" s="17"/>
      <c r="ACD8" s="17"/>
      <c r="ACE8" s="17"/>
      <c r="ACF8" s="17"/>
      <c r="ACG8" s="17"/>
      <c r="ACH8" s="17"/>
      <c r="ACI8" s="17"/>
      <c r="ACJ8" s="17"/>
      <c r="ACK8" s="17"/>
      <c r="ACL8" s="17"/>
      <c r="ACM8" s="17"/>
      <c r="ACN8" s="17"/>
      <c r="ACO8" s="17"/>
      <c r="ACP8" s="17"/>
      <c r="ACQ8" s="17"/>
      <c r="ACR8" s="17"/>
      <c r="ACS8" s="17"/>
      <c r="ACT8" s="17"/>
      <c r="ACU8" s="17"/>
      <c r="ACV8" s="17"/>
      <c r="ACW8" s="17"/>
      <c r="ACX8" s="17"/>
      <c r="ACY8" s="17"/>
      <c r="ACZ8" s="17"/>
      <c r="ADA8" s="17"/>
      <c r="ADB8" s="17"/>
      <c r="ADC8" s="17"/>
      <c r="ADD8" s="17"/>
      <c r="ADE8" s="17"/>
      <c r="ADF8" s="17"/>
      <c r="ADG8" s="17"/>
      <c r="ADH8" s="17"/>
      <c r="ADI8" s="17"/>
      <c r="ADJ8" s="17"/>
      <c r="ADK8" s="17"/>
      <c r="ADL8" s="17"/>
      <c r="ADM8" s="17"/>
      <c r="ADN8" s="17"/>
      <c r="ADO8" s="17"/>
      <c r="ADP8" s="17"/>
      <c r="ADQ8" s="17"/>
      <c r="ADR8" s="17"/>
      <c r="ADS8" s="17"/>
      <c r="ADT8" s="17"/>
      <c r="ADU8" s="17"/>
      <c r="ADV8" s="17"/>
      <c r="ADW8" s="17"/>
      <c r="ADX8" s="17"/>
      <c r="ADY8" s="17"/>
      <c r="ADZ8" s="17"/>
      <c r="AEA8" s="17"/>
      <c r="AEB8" s="17"/>
      <c r="AEC8" s="17"/>
      <c r="AED8" s="17"/>
      <c r="AEE8" s="17"/>
      <c r="AEF8" s="17"/>
      <c r="AEG8" s="17"/>
      <c r="AEH8" s="17"/>
      <c r="AEI8" s="17"/>
      <c r="AEJ8" s="17"/>
      <c r="AEK8" s="17"/>
      <c r="AEL8" s="17"/>
      <c r="AEM8" s="17"/>
      <c r="AEN8" s="17"/>
      <c r="AEO8" s="17"/>
      <c r="AEP8" s="17"/>
      <c r="AEQ8" s="17"/>
      <c r="AER8" s="17"/>
      <c r="AES8" s="17"/>
      <c r="AET8" s="17"/>
      <c r="AEU8" s="17"/>
      <c r="AEV8" s="17"/>
      <c r="AEW8" s="17"/>
      <c r="AEX8" s="17"/>
      <c r="AEY8" s="17"/>
      <c r="AEZ8" s="17"/>
      <c r="AFA8" s="17"/>
      <c r="AFB8" s="17"/>
      <c r="AFC8" s="17"/>
      <c r="AFD8" s="17"/>
      <c r="AFE8" s="17"/>
      <c r="AFF8" s="17"/>
      <c r="AFG8" s="17"/>
      <c r="AFH8" s="17"/>
      <c r="AFI8" s="17"/>
      <c r="AFJ8" s="17"/>
      <c r="AFK8" s="17"/>
      <c r="AFL8" s="17"/>
      <c r="AFM8" s="17"/>
      <c r="AFN8" s="17"/>
      <c r="AFO8" s="17"/>
      <c r="AFP8" s="17"/>
      <c r="AFQ8" s="17"/>
      <c r="AFR8" s="17"/>
      <c r="AFS8" s="17"/>
      <c r="AFT8" s="17"/>
      <c r="AFU8" s="17"/>
      <c r="AFV8" s="17"/>
      <c r="AFW8" s="17"/>
      <c r="AFX8" s="17"/>
      <c r="AFY8" s="17"/>
      <c r="AFZ8" s="17"/>
      <c r="AGA8" s="17"/>
      <c r="AGB8" s="17"/>
      <c r="AGC8" s="17"/>
      <c r="AGD8" s="17"/>
      <c r="AGE8" s="17"/>
      <c r="AGF8" s="17"/>
      <c r="AGG8" s="17"/>
      <c r="AGH8" s="17"/>
      <c r="AGI8" s="17"/>
      <c r="AGJ8" s="17"/>
      <c r="AGK8" s="17"/>
      <c r="AGL8" s="17"/>
      <c r="AGM8" s="17"/>
      <c r="AGN8" s="17"/>
      <c r="AGO8" s="17"/>
      <c r="AGP8" s="17"/>
      <c r="AGQ8" s="17"/>
      <c r="AGR8" s="17"/>
      <c r="AGS8" s="17"/>
      <c r="AGT8" s="17"/>
      <c r="AGU8" s="17"/>
      <c r="AGV8" s="17"/>
      <c r="AGW8" s="17"/>
      <c r="AGX8" s="17"/>
      <c r="AGY8" s="17"/>
      <c r="AGZ8" s="17"/>
      <c r="AHA8" s="17"/>
      <c r="AHB8" s="17"/>
      <c r="AHC8" s="17"/>
      <c r="AHD8" s="17"/>
      <c r="AHE8" s="17"/>
      <c r="AHF8" s="17"/>
      <c r="AHG8" s="17"/>
      <c r="AHH8" s="17"/>
      <c r="AHI8" s="17"/>
      <c r="AHJ8" s="17"/>
      <c r="AHK8" s="17"/>
      <c r="AHL8" s="17"/>
      <c r="AHM8" s="17"/>
      <c r="AHN8" s="17"/>
      <c r="AHO8" s="17"/>
      <c r="AHP8" s="17"/>
      <c r="AHQ8" s="17"/>
      <c r="AHR8" s="17"/>
      <c r="AHS8" s="17"/>
      <c r="AHT8" s="17"/>
      <c r="AHU8" s="17"/>
      <c r="AHV8" s="17"/>
      <c r="AHW8" s="17"/>
      <c r="AHX8" s="17"/>
      <c r="AHY8" s="17"/>
      <c r="AHZ8" s="17"/>
      <c r="AIA8" s="17"/>
      <c r="AIB8" s="17"/>
      <c r="AIC8" s="17"/>
      <c r="AID8" s="17"/>
      <c r="AIE8" s="17"/>
      <c r="AIF8" s="17"/>
      <c r="AIG8" s="17"/>
      <c r="AIH8" s="17"/>
      <c r="AII8" s="17"/>
      <c r="AIJ8" s="17"/>
      <c r="AIK8" s="17"/>
      <c r="AIL8" s="17"/>
      <c r="AIM8" s="17"/>
      <c r="AIN8" s="17"/>
      <c r="AIO8" s="17"/>
      <c r="AIP8" s="17"/>
      <c r="AIQ8" s="17"/>
      <c r="AIR8" s="17"/>
      <c r="AIS8" s="17"/>
      <c r="AIT8" s="17"/>
      <c r="AIU8" s="17"/>
      <c r="AIV8" s="17"/>
      <c r="AIW8" s="17"/>
      <c r="AIX8" s="17"/>
      <c r="AIY8" s="17"/>
      <c r="AIZ8" s="17"/>
      <c r="AJA8" s="17"/>
      <c r="AJB8" s="17"/>
      <c r="AJC8" s="17"/>
      <c r="AJD8" s="17"/>
      <c r="AJE8" s="17"/>
      <c r="AJF8" s="17"/>
      <c r="AJG8" s="17"/>
      <c r="AJH8" s="17"/>
      <c r="AJI8" s="17"/>
      <c r="AJJ8" s="17"/>
      <c r="AJK8" s="17"/>
      <c r="AJL8" s="17"/>
      <c r="AJM8" s="17"/>
      <c r="AJN8" s="17"/>
      <c r="AJO8" s="17"/>
      <c r="AJP8" s="17"/>
      <c r="AJQ8" s="17"/>
      <c r="AJR8" s="17"/>
      <c r="AJS8" s="17"/>
      <c r="AJT8" s="17"/>
      <c r="AJU8" s="17"/>
      <c r="AJV8" s="17"/>
      <c r="AJW8" s="17"/>
      <c r="AJX8" s="17"/>
      <c r="AJY8" s="17"/>
      <c r="AJZ8" s="17"/>
      <c r="AKA8" s="17"/>
      <c r="AKB8" s="17"/>
      <c r="AKC8" s="17"/>
      <c r="AKD8" s="17"/>
      <c r="AKE8" s="17"/>
      <c r="AKF8" s="17"/>
      <c r="AKG8" s="17"/>
      <c r="AKH8" s="17"/>
      <c r="AKI8" s="17"/>
      <c r="AKJ8" s="17"/>
      <c r="AKK8" s="17"/>
      <c r="AKL8" s="17"/>
      <c r="AKM8" s="17"/>
      <c r="AKN8" s="17"/>
      <c r="AKO8" s="17"/>
      <c r="AKP8" s="17"/>
      <c r="AKQ8" s="17"/>
      <c r="AKR8" s="17"/>
      <c r="AKS8" s="17"/>
      <c r="AKT8" s="17"/>
      <c r="AKU8" s="17"/>
      <c r="AKV8" s="17"/>
      <c r="AKW8" s="17"/>
      <c r="AKX8" s="17"/>
      <c r="AKY8" s="17"/>
      <c r="AKZ8" s="17"/>
      <c r="ALA8" s="17"/>
      <c r="ALB8" s="17"/>
      <c r="ALC8" s="17"/>
      <c r="ALD8" s="17"/>
      <c r="ALE8" s="17"/>
      <c r="ALF8" s="17"/>
      <c r="ALG8" s="17"/>
      <c r="ALH8" s="17"/>
      <c r="ALI8" s="17"/>
      <c r="ALJ8" s="17"/>
      <c r="ALK8" s="17"/>
      <c r="ALL8" s="17"/>
      <c r="ALM8" s="17"/>
      <c r="ALN8" s="17"/>
      <c r="ALO8" s="17"/>
      <c r="ALP8" s="17"/>
      <c r="ALQ8" s="17"/>
      <c r="ALR8" s="17"/>
      <c r="ALS8" s="17"/>
      <c r="ALT8" s="17"/>
      <c r="ALU8" s="17"/>
      <c r="ALV8" s="17"/>
      <c r="ALW8" s="17"/>
      <c r="ALX8" s="17"/>
      <c r="ALY8" s="17"/>
      <c r="ALZ8" s="17"/>
      <c r="AMA8" s="17"/>
      <c r="AMB8" s="17"/>
      <c r="AMC8" s="17"/>
      <c r="AMD8" s="17"/>
      <c r="AME8" s="17"/>
      <c r="AMF8" s="17"/>
      <c r="AMG8" s="17"/>
      <c r="AMH8" s="17"/>
      <c r="AMI8" s="17"/>
    </row>
    <row r="9" spans="1:1023" s="18" customFormat="1" ht="11.25" x14ac:dyDescent="0.2">
      <c r="A9" s="15"/>
      <c r="B9" s="24"/>
      <c r="C9" s="25"/>
      <c r="D9" s="26"/>
      <c r="E9" s="27" t="s">
        <v>60</v>
      </c>
      <c r="F9" s="26">
        <v>1</v>
      </c>
      <c r="G9" s="28">
        <v>153</v>
      </c>
      <c r="H9" s="31">
        <f>Table1[[#This Row],[LENGTH (in.)]]*Table1[[#This Row],[QTY.]]</f>
        <v>153</v>
      </c>
      <c r="I9" s="16"/>
      <c r="J9" s="16"/>
      <c r="K9" s="16"/>
      <c r="L9" s="17"/>
      <c r="M9" s="23" t="s">
        <v>89</v>
      </c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17"/>
      <c r="MT9" s="17"/>
      <c r="MU9" s="17"/>
      <c r="MV9" s="17"/>
      <c r="MW9" s="17"/>
      <c r="MX9" s="17"/>
      <c r="MY9" s="17"/>
      <c r="MZ9" s="17"/>
      <c r="NA9" s="17"/>
      <c r="NB9" s="17"/>
      <c r="NC9" s="17"/>
      <c r="ND9" s="17"/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17"/>
      <c r="OX9" s="17"/>
      <c r="OY9" s="17"/>
      <c r="OZ9" s="17"/>
      <c r="PA9" s="17"/>
      <c r="PB9" s="17"/>
      <c r="PC9" s="17"/>
      <c r="PD9" s="17"/>
      <c r="PE9" s="17"/>
      <c r="PF9" s="17"/>
      <c r="PG9" s="17"/>
      <c r="PH9" s="17"/>
      <c r="PI9" s="17"/>
      <c r="PJ9" s="17"/>
      <c r="PK9" s="17"/>
      <c r="PL9" s="17"/>
      <c r="PM9" s="17"/>
      <c r="PN9" s="17"/>
      <c r="PO9" s="17"/>
      <c r="PP9" s="17"/>
      <c r="PQ9" s="17"/>
      <c r="PR9" s="17"/>
      <c r="PS9" s="17"/>
      <c r="PT9" s="17"/>
      <c r="PU9" s="17"/>
      <c r="PV9" s="17"/>
      <c r="PW9" s="17"/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17"/>
      <c r="RA9" s="17"/>
      <c r="RB9" s="17"/>
      <c r="RC9" s="17"/>
      <c r="RD9" s="17"/>
      <c r="RE9" s="17"/>
      <c r="RF9" s="17"/>
      <c r="RG9" s="17"/>
      <c r="RH9" s="17"/>
      <c r="RI9" s="17"/>
      <c r="RJ9" s="17"/>
      <c r="RK9" s="17"/>
      <c r="RL9" s="17"/>
      <c r="RM9" s="17"/>
      <c r="RN9" s="17"/>
      <c r="RO9" s="17"/>
      <c r="RP9" s="17"/>
      <c r="RQ9" s="17"/>
      <c r="RR9" s="17"/>
      <c r="RS9" s="17"/>
      <c r="RT9" s="17"/>
      <c r="RU9" s="17"/>
      <c r="RV9" s="17"/>
      <c r="RW9" s="17"/>
      <c r="RX9" s="17"/>
      <c r="RY9" s="17"/>
      <c r="RZ9" s="17"/>
      <c r="SA9" s="17"/>
      <c r="SB9" s="17"/>
      <c r="SC9" s="17"/>
      <c r="SD9" s="17"/>
      <c r="SE9" s="17"/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17"/>
      <c r="TQ9" s="17"/>
      <c r="TR9" s="17"/>
      <c r="TS9" s="17"/>
      <c r="TT9" s="17"/>
      <c r="TU9" s="17"/>
      <c r="TV9" s="17"/>
      <c r="TW9" s="17"/>
      <c r="TX9" s="17"/>
      <c r="TY9" s="17"/>
      <c r="TZ9" s="17"/>
      <c r="UA9" s="17"/>
      <c r="UB9" s="17"/>
      <c r="UC9" s="17"/>
      <c r="UD9" s="17"/>
      <c r="UE9" s="17"/>
      <c r="UF9" s="17"/>
      <c r="UG9" s="17"/>
      <c r="UH9" s="17"/>
      <c r="UI9" s="17"/>
      <c r="UJ9" s="17"/>
      <c r="UK9" s="17"/>
      <c r="UL9" s="17"/>
      <c r="UM9" s="17"/>
      <c r="UN9" s="17"/>
      <c r="UO9" s="17"/>
      <c r="UP9" s="17"/>
      <c r="UQ9" s="17"/>
      <c r="UR9" s="17"/>
      <c r="US9" s="17"/>
      <c r="UT9" s="17"/>
      <c r="UU9" s="17"/>
      <c r="UV9" s="17"/>
      <c r="UW9" s="17"/>
      <c r="UX9" s="17"/>
      <c r="UY9" s="17"/>
      <c r="UZ9" s="17"/>
      <c r="VA9" s="17"/>
      <c r="VB9" s="17"/>
      <c r="VC9" s="17"/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17"/>
      <c r="WG9" s="17"/>
      <c r="WH9" s="17"/>
      <c r="WI9" s="17"/>
      <c r="WJ9" s="17"/>
      <c r="WK9" s="17"/>
      <c r="WL9" s="17"/>
      <c r="WM9" s="17"/>
      <c r="WN9" s="17"/>
      <c r="WO9" s="17"/>
      <c r="WP9" s="17"/>
      <c r="WQ9" s="17"/>
      <c r="WR9" s="17"/>
      <c r="WS9" s="17"/>
      <c r="WT9" s="17"/>
      <c r="WU9" s="17"/>
      <c r="WV9" s="17"/>
      <c r="WW9" s="17"/>
      <c r="WX9" s="17"/>
      <c r="WY9" s="17"/>
      <c r="WZ9" s="17"/>
      <c r="XA9" s="17"/>
      <c r="XB9" s="17"/>
      <c r="XC9" s="17"/>
      <c r="XD9" s="17"/>
      <c r="XE9" s="17"/>
      <c r="XF9" s="17"/>
      <c r="XG9" s="17"/>
      <c r="XH9" s="17"/>
      <c r="XI9" s="17"/>
      <c r="XJ9" s="17"/>
      <c r="XK9" s="17"/>
      <c r="XL9" s="17"/>
      <c r="XM9" s="17"/>
      <c r="XN9" s="17"/>
      <c r="XO9" s="17"/>
      <c r="XP9" s="17"/>
      <c r="XQ9" s="17"/>
      <c r="XR9" s="17"/>
      <c r="XS9" s="17"/>
      <c r="XT9" s="17"/>
      <c r="XU9" s="17"/>
      <c r="XV9" s="17"/>
      <c r="XW9" s="17"/>
      <c r="XX9" s="17"/>
      <c r="XY9" s="17"/>
      <c r="XZ9" s="17"/>
      <c r="YA9" s="17"/>
      <c r="YB9" s="17"/>
      <c r="YC9" s="17"/>
      <c r="YD9" s="17"/>
      <c r="YE9" s="17"/>
      <c r="YF9" s="17"/>
      <c r="YG9" s="17"/>
      <c r="YH9" s="17"/>
      <c r="YI9" s="17"/>
      <c r="YJ9" s="17"/>
      <c r="YK9" s="17"/>
      <c r="YL9" s="17"/>
      <c r="YM9" s="17"/>
      <c r="YN9" s="17"/>
      <c r="YO9" s="17"/>
      <c r="YP9" s="17"/>
      <c r="YQ9" s="17"/>
      <c r="YR9" s="17"/>
      <c r="YS9" s="17"/>
      <c r="YT9" s="17"/>
      <c r="YU9" s="17"/>
      <c r="YV9" s="17"/>
      <c r="YW9" s="17"/>
      <c r="YX9" s="17"/>
      <c r="YY9" s="17"/>
      <c r="YZ9" s="17"/>
      <c r="ZA9" s="17"/>
      <c r="ZB9" s="17"/>
      <c r="ZC9" s="17"/>
      <c r="ZD9" s="17"/>
      <c r="ZE9" s="17"/>
      <c r="ZF9" s="17"/>
      <c r="ZG9" s="17"/>
      <c r="ZH9" s="17"/>
      <c r="ZI9" s="17"/>
      <c r="ZJ9" s="17"/>
      <c r="ZK9" s="17"/>
      <c r="ZL9" s="17"/>
      <c r="ZM9" s="17"/>
      <c r="ZN9" s="17"/>
      <c r="ZO9" s="17"/>
      <c r="ZP9" s="17"/>
      <c r="ZQ9" s="17"/>
      <c r="ZR9" s="17"/>
      <c r="ZS9" s="17"/>
      <c r="ZT9" s="17"/>
      <c r="ZU9" s="17"/>
      <c r="ZV9" s="17"/>
      <c r="ZW9" s="17"/>
      <c r="ZX9" s="17"/>
      <c r="ZY9" s="17"/>
      <c r="ZZ9" s="17"/>
      <c r="AAA9" s="17"/>
      <c r="AAB9" s="17"/>
      <c r="AAC9" s="17"/>
      <c r="AAD9" s="17"/>
      <c r="AAE9" s="17"/>
      <c r="AAF9" s="17"/>
      <c r="AAG9" s="17"/>
      <c r="AAH9" s="17"/>
      <c r="AAI9" s="17"/>
      <c r="AAJ9" s="17"/>
      <c r="AAK9" s="17"/>
      <c r="AAL9" s="17"/>
      <c r="AAM9" s="17"/>
      <c r="AAN9" s="17"/>
      <c r="AAO9" s="17"/>
      <c r="AAP9" s="17"/>
      <c r="AAQ9" s="17"/>
      <c r="AAR9" s="17"/>
      <c r="AAS9" s="17"/>
      <c r="AAT9" s="17"/>
      <c r="AAU9" s="17"/>
      <c r="AAV9" s="17"/>
      <c r="AAW9" s="17"/>
      <c r="AAX9" s="17"/>
      <c r="AAY9" s="17"/>
      <c r="AAZ9" s="17"/>
      <c r="ABA9" s="17"/>
      <c r="ABB9" s="17"/>
      <c r="ABC9" s="17"/>
      <c r="ABD9" s="17"/>
      <c r="ABE9" s="17"/>
      <c r="ABF9" s="17"/>
      <c r="ABG9" s="17"/>
      <c r="ABH9" s="17"/>
      <c r="ABI9" s="17"/>
      <c r="ABJ9" s="17"/>
      <c r="ABK9" s="17"/>
      <c r="ABL9" s="17"/>
      <c r="ABM9" s="17"/>
      <c r="ABN9" s="17"/>
      <c r="ABO9" s="17"/>
      <c r="ABP9" s="17"/>
      <c r="ABQ9" s="17"/>
      <c r="ABR9" s="17"/>
      <c r="ABS9" s="17"/>
      <c r="ABT9" s="17"/>
      <c r="ABU9" s="17"/>
      <c r="ABV9" s="17"/>
      <c r="ABW9" s="17"/>
      <c r="ABX9" s="17"/>
      <c r="ABY9" s="17"/>
      <c r="ABZ9" s="17"/>
      <c r="ACA9" s="17"/>
      <c r="ACB9" s="17"/>
      <c r="ACC9" s="17"/>
      <c r="ACD9" s="17"/>
      <c r="ACE9" s="17"/>
      <c r="ACF9" s="17"/>
      <c r="ACG9" s="17"/>
      <c r="ACH9" s="17"/>
      <c r="ACI9" s="17"/>
      <c r="ACJ9" s="17"/>
      <c r="ACK9" s="17"/>
      <c r="ACL9" s="17"/>
      <c r="ACM9" s="17"/>
      <c r="ACN9" s="17"/>
      <c r="ACO9" s="17"/>
      <c r="ACP9" s="17"/>
      <c r="ACQ9" s="17"/>
      <c r="ACR9" s="17"/>
      <c r="ACS9" s="17"/>
      <c r="ACT9" s="17"/>
      <c r="ACU9" s="17"/>
      <c r="ACV9" s="17"/>
      <c r="ACW9" s="17"/>
      <c r="ACX9" s="17"/>
      <c r="ACY9" s="17"/>
      <c r="ACZ9" s="17"/>
      <c r="ADA9" s="17"/>
      <c r="ADB9" s="17"/>
      <c r="ADC9" s="17"/>
      <c r="ADD9" s="17"/>
      <c r="ADE9" s="17"/>
      <c r="ADF9" s="17"/>
      <c r="ADG9" s="17"/>
      <c r="ADH9" s="17"/>
      <c r="ADI9" s="17"/>
      <c r="ADJ9" s="17"/>
      <c r="ADK9" s="17"/>
      <c r="ADL9" s="17"/>
      <c r="ADM9" s="17"/>
      <c r="ADN9" s="17"/>
      <c r="ADO9" s="17"/>
      <c r="ADP9" s="17"/>
      <c r="ADQ9" s="17"/>
      <c r="ADR9" s="17"/>
      <c r="ADS9" s="17"/>
      <c r="ADT9" s="17"/>
      <c r="ADU9" s="17"/>
      <c r="ADV9" s="17"/>
      <c r="ADW9" s="17"/>
      <c r="ADX9" s="17"/>
      <c r="ADY9" s="17"/>
      <c r="ADZ9" s="17"/>
      <c r="AEA9" s="17"/>
      <c r="AEB9" s="17"/>
      <c r="AEC9" s="17"/>
      <c r="AED9" s="17"/>
      <c r="AEE9" s="17"/>
      <c r="AEF9" s="17"/>
      <c r="AEG9" s="17"/>
      <c r="AEH9" s="17"/>
      <c r="AEI9" s="17"/>
      <c r="AEJ9" s="17"/>
      <c r="AEK9" s="17"/>
      <c r="AEL9" s="17"/>
      <c r="AEM9" s="17"/>
      <c r="AEN9" s="17"/>
      <c r="AEO9" s="17"/>
      <c r="AEP9" s="17"/>
      <c r="AEQ9" s="17"/>
      <c r="AER9" s="17"/>
      <c r="AES9" s="17"/>
      <c r="AET9" s="17"/>
      <c r="AEU9" s="17"/>
      <c r="AEV9" s="17"/>
      <c r="AEW9" s="17"/>
      <c r="AEX9" s="17"/>
      <c r="AEY9" s="17"/>
      <c r="AEZ9" s="17"/>
      <c r="AFA9" s="17"/>
      <c r="AFB9" s="17"/>
      <c r="AFC9" s="17"/>
      <c r="AFD9" s="17"/>
      <c r="AFE9" s="17"/>
      <c r="AFF9" s="17"/>
      <c r="AFG9" s="17"/>
      <c r="AFH9" s="17"/>
      <c r="AFI9" s="17"/>
      <c r="AFJ9" s="17"/>
      <c r="AFK9" s="17"/>
      <c r="AFL9" s="17"/>
      <c r="AFM9" s="17"/>
      <c r="AFN9" s="17"/>
      <c r="AFO9" s="17"/>
      <c r="AFP9" s="17"/>
      <c r="AFQ9" s="17"/>
      <c r="AFR9" s="17"/>
      <c r="AFS9" s="17"/>
      <c r="AFT9" s="17"/>
      <c r="AFU9" s="17"/>
      <c r="AFV9" s="17"/>
      <c r="AFW9" s="17"/>
      <c r="AFX9" s="17"/>
      <c r="AFY9" s="17"/>
      <c r="AFZ9" s="17"/>
      <c r="AGA9" s="17"/>
      <c r="AGB9" s="17"/>
      <c r="AGC9" s="17"/>
      <c r="AGD9" s="17"/>
      <c r="AGE9" s="17"/>
      <c r="AGF9" s="17"/>
      <c r="AGG9" s="17"/>
      <c r="AGH9" s="17"/>
      <c r="AGI9" s="17"/>
      <c r="AGJ9" s="17"/>
      <c r="AGK9" s="17"/>
      <c r="AGL9" s="17"/>
      <c r="AGM9" s="17"/>
      <c r="AGN9" s="17"/>
      <c r="AGO9" s="17"/>
      <c r="AGP9" s="17"/>
      <c r="AGQ9" s="17"/>
      <c r="AGR9" s="17"/>
      <c r="AGS9" s="17"/>
      <c r="AGT9" s="17"/>
      <c r="AGU9" s="17"/>
      <c r="AGV9" s="17"/>
      <c r="AGW9" s="17"/>
      <c r="AGX9" s="17"/>
      <c r="AGY9" s="17"/>
      <c r="AGZ9" s="17"/>
      <c r="AHA9" s="17"/>
      <c r="AHB9" s="17"/>
      <c r="AHC9" s="17"/>
      <c r="AHD9" s="17"/>
      <c r="AHE9" s="17"/>
      <c r="AHF9" s="17"/>
      <c r="AHG9" s="17"/>
      <c r="AHH9" s="17"/>
      <c r="AHI9" s="17"/>
      <c r="AHJ9" s="17"/>
      <c r="AHK9" s="17"/>
      <c r="AHL9" s="17"/>
      <c r="AHM9" s="17"/>
      <c r="AHN9" s="17"/>
      <c r="AHO9" s="17"/>
      <c r="AHP9" s="17"/>
      <c r="AHQ9" s="17"/>
      <c r="AHR9" s="17"/>
      <c r="AHS9" s="17"/>
      <c r="AHT9" s="17"/>
      <c r="AHU9" s="17"/>
      <c r="AHV9" s="17"/>
      <c r="AHW9" s="17"/>
      <c r="AHX9" s="17"/>
      <c r="AHY9" s="17"/>
      <c r="AHZ9" s="17"/>
      <c r="AIA9" s="17"/>
      <c r="AIB9" s="17"/>
      <c r="AIC9" s="17"/>
      <c r="AID9" s="17"/>
      <c r="AIE9" s="17"/>
      <c r="AIF9" s="17"/>
      <c r="AIG9" s="17"/>
      <c r="AIH9" s="17"/>
      <c r="AII9" s="17"/>
      <c r="AIJ9" s="17"/>
      <c r="AIK9" s="17"/>
      <c r="AIL9" s="17"/>
      <c r="AIM9" s="17"/>
      <c r="AIN9" s="17"/>
      <c r="AIO9" s="17"/>
      <c r="AIP9" s="17"/>
      <c r="AIQ9" s="17"/>
      <c r="AIR9" s="17"/>
      <c r="AIS9" s="17"/>
      <c r="AIT9" s="17"/>
      <c r="AIU9" s="17"/>
      <c r="AIV9" s="17"/>
      <c r="AIW9" s="17"/>
      <c r="AIX9" s="17"/>
      <c r="AIY9" s="17"/>
      <c r="AIZ9" s="17"/>
      <c r="AJA9" s="17"/>
      <c r="AJB9" s="17"/>
      <c r="AJC9" s="17"/>
      <c r="AJD9" s="17"/>
      <c r="AJE9" s="17"/>
      <c r="AJF9" s="17"/>
      <c r="AJG9" s="17"/>
      <c r="AJH9" s="17"/>
      <c r="AJI9" s="17"/>
      <c r="AJJ9" s="17"/>
      <c r="AJK9" s="17"/>
      <c r="AJL9" s="17"/>
      <c r="AJM9" s="17"/>
      <c r="AJN9" s="17"/>
      <c r="AJO9" s="17"/>
      <c r="AJP9" s="17"/>
      <c r="AJQ9" s="17"/>
      <c r="AJR9" s="17"/>
      <c r="AJS9" s="17"/>
      <c r="AJT9" s="17"/>
      <c r="AJU9" s="17"/>
      <c r="AJV9" s="17"/>
      <c r="AJW9" s="17"/>
      <c r="AJX9" s="17"/>
      <c r="AJY9" s="17"/>
      <c r="AJZ9" s="17"/>
      <c r="AKA9" s="17"/>
      <c r="AKB9" s="17"/>
      <c r="AKC9" s="17"/>
      <c r="AKD9" s="17"/>
      <c r="AKE9" s="17"/>
      <c r="AKF9" s="17"/>
      <c r="AKG9" s="17"/>
      <c r="AKH9" s="17"/>
      <c r="AKI9" s="17"/>
      <c r="AKJ9" s="17"/>
      <c r="AKK9" s="17"/>
      <c r="AKL9" s="17"/>
      <c r="AKM9" s="17"/>
      <c r="AKN9" s="17"/>
      <c r="AKO9" s="17"/>
      <c r="AKP9" s="17"/>
      <c r="AKQ9" s="17"/>
      <c r="AKR9" s="17"/>
      <c r="AKS9" s="17"/>
      <c r="AKT9" s="17"/>
      <c r="AKU9" s="17"/>
      <c r="AKV9" s="17"/>
      <c r="AKW9" s="17"/>
      <c r="AKX9" s="17"/>
      <c r="AKY9" s="17"/>
      <c r="AKZ9" s="17"/>
      <c r="ALA9" s="17"/>
      <c r="ALB9" s="17"/>
      <c r="ALC9" s="17"/>
      <c r="ALD9" s="17"/>
      <c r="ALE9" s="17"/>
      <c r="ALF9" s="17"/>
      <c r="ALG9" s="17"/>
      <c r="ALH9" s="17"/>
      <c r="ALI9" s="17"/>
      <c r="ALJ9" s="17"/>
      <c r="ALK9" s="17"/>
      <c r="ALL9" s="17"/>
      <c r="ALM9" s="17"/>
      <c r="ALN9" s="17"/>
      <c r="ALO9" s="17"/>
      <c r="ALP9" s="17"/>
      <c r="ALQ9" s="17"/>
      <c r="ALR9" s="17"/>
      <c r="ALS9" s="17"/>
      <c r="ALT9" s="17"/>
      <c r="ALU9" s="17"/>
      <c r="ALV9" s="17"/>
      <c r="ALW9" s="17"/>
      <c r="ALX9" s="17"/>
      <c r="ALY9" s="17"/>
      <c r="ALZ9" s="17"/>
      <c r="AMA9" s="17"/>
      <c r="AMB9" s="17"/>
      <c r="AMC9" s="17"/>
      <c r="AMD9" s="17"/>
      <c r="AME9" s="17"/>
      <c r="AMF9" s="17"/>
      <c r="AMG9" s="17"/>
      <c r="AMH9" s="17"/>
      <c r="AMI9" s="17"/>
    </row>
    <row r="10" spans="1:1023" s="18" customFormat="1" ht="11.25" x14ac:dyDescent="0.2">
      <c r="A10" s="15"/>
      <c r="B10" s="24"/>
      <c r="C10" s="25"/>
      <c r="D10" s="26"/>
      <c r="E10" s="27" t="s">
        <v>60</v>
      </c>
      <c r="F10" s="26">
        <v>34</v>
      </c>
      <c r="G10" s="28">
        <v>146.5</v>
      </c>
      <c r="H10" s="31">
        <f>Table1[[#This Row],[LENGTH (in.)]]*Table1[[#This Row],[QTY.]]</f>
        <v>4981</v>
      </c>
      <c r="I10" s="16"/>
      <c r="J10" s="16"/>
      <c r="K10" s="16"/>
      <c r="L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17"/>
      <c r="GO10" s="17"/>
      <c r="GP10" s="17"/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17"/>
      <c r="KP10" s="17"/>
      <c r="KQ10" s="17"/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17"/>
      <c r="MT10" s="17"/>
      <c r="MU10" s="17"/>
      <c r="MV10" s="17"/>
      <c r="MW10" s="17"/>
      <c r="MX10" s="17"/>
      <c r="MY10" s="17"/>
      <c r="MZ10" s="17"/>
      <c r="NA10" s="17"/>
      <c r="NB10" s="17"/>
      <c r="NC10" s="17"/>
      <c r="ND10" s="17"/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17"/>
      <c r="OX10" s="17"/>
      <c r="OY10" s="17"/>
      <c r="OZ10" s="17"/>
      <c r="PA10" s="17"/>
      <c r="PB10" s="17"/>
      <c r="PC10" s="17"/>
      <c r="PD10" s="17"/>
      <c r="PE10" s="17"/>
      <c r="PF10" s="17"/>
      <c r="PG10" s="17"/>
      <c r="PH10" s="17"/>
      <c r="PI10" s="17"/>
      <c r="PJ10" s="17"/>
      <c r="PK10" s="17"/>
      <c r="PL10" s="17"/>
      <c r="PM10" s="17"/>
      <c r="PN10" s="17"/>
      <c r="PO10" s="17"/>
      <c r="PP10" s="17"/>
      <c r="PQ10" s="17"/>
      <c r="PR10" s="17"/>
      <c r="PS10" s="17"/>
      <c r="PT10" s="17"/>
      <c r="PU10" s="17"/>
      <c r="PV10" s="17"/>
      <c r="PW10" s="17"/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17"/>
      <c r="RA10" s="17"/>
      <c r="RB10" s="17"/>
      <c r="RC10" s="17"/>
      <c r="RD10" s="17"/>
      <c r="RE10" s="17"/>
      <c r="RF10" s="17"/>
      <c r="RG10" s="17"/>
      <c r="RH10" s="17"/>
      <c r="RI10" s="17"/>
      <c r="RJ10" s="17"/>
      <c r="RK10" s="17"/>
      <c r="RL10" s="17"/>
      <c r="RM10" s="17"/>
      <c r="RN10" s="17"/>
      <c r="RO10" s="17"/>
      <c r="RP10" s="17"/>
      <c r="RQ10" s="17"/>
      <c r="RR10" s="17"/>
      <c r="RS10" s="17"/>
      <c r="RT10" s="17"/>
      <c r="RU10" s="17"/>
      <c r="RV10" s="17"/>
      <c r="RW10" s="17"/>
      <c r="RX10" s="17"/>
      <c r="RY10" s="17"/>
      <c r="RZ10" s="17"/>
      <c r="SA10" s="17"/>
      <c r="SB10" s="17"/>
      <c r="SC10" s="17"/>
      <c r="SD10" s="17"/>
      <c r="SE10" s="17"/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17"/>
      <c r="TQ10" s="17"/>
      <c r="TR10" s="17"/>
      <c r="TS10" s="17"/>
      <c r="TT10" s="17"/>
      <c r="TU10" s="17"/>
      <c r="TV10" s="17"/>
      <c r="TW10" s="17"/>
      <c r="TX10" s="17"/>
      <c r="TY10" s="17"/>
      <c r="TZ10" s="17"/>
      <c r="UA10" s="17"/>
      <c r="UB10" s="17"/>
      <c r="UC10" s="17"/>
      <c r="UD10" s="17"/>
      <c r="UE10" s="17"/>
      <c r="UF10" s="17"/>
      <c r="UG10" s="17"/>
      <c r="UH10" s="17"/>
      <c r="UI10" s="17"/>
      <c r="UJ10" s="17"/>
      <c r="UK10" s="17"/>
      <c r="UL10" s="17"/>
      <c r="UM10" s="17"/>
      <c r="UN10" s="17"/>
      <c r="UO10" s="17"/>
      <c r="UP10" s="17"/>
      <c r="UQ10" s="17"/>
      <c r="UR10" s="17"/>
      <c r="US10" s="17"/>
      <c r="UT10" s="17"/>
      <c r="UU10" s="17"/>
      <c r="UV10" s="17"/>
      <c r="UW10" s="17"/>
      <c r="UX10" s="17"/>
      <c r="UY10" s="17"/>
      <c r="UZ10" s="17"/>
      <c r="VA10" s="17"/>
      <c r="VB10" s="17"/>
      <c r="VC10" s="17"/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17"/>
      <c r="WG10" s="17"/>
      <c r="WH10" s="17"/>
      <c r="WI10" s="17"/>
      <c r="WJ10" s="17"/>
      <c r="WK10" s="17"/>
      <c r="WL10" s="17"/>
      <c r="WM10" s="17"/>
      <c r="WN10" s="17"/>
      <c r="WO10" s="17"/>
      <c r="WP10" s="17"/>
      <c r="WQ10" s="17"/>
      <c r="WR10" s="17"/>
      <c r="WS10" s="17"/>
      <c r="WT10" s="17"/>
      <c r="WU10" s="17"/>
      <c r="WV10" s="17"/>
      <c r="WW10" s="17"/>
      <c r="WX10" s="17"/>
      <c r="WY10" s="17"/>
      <c r="WZ10" s="17"/>
      <c r="XA10" s="17"/>
      <c r="XB10" s="17"/>
      <c r="XC10" s="17"/>
      <c r="XD10" s="17"/>
      <c r="XE10" s="17"/>
      <c r="XF10" s="17"/>
      <c r="XG10" s="17"/>
      <c r="XH10" s="17"/>
      <c r="XI10" s="17"/>
      <c r="XJ10" s="17"/>
      <c r="XK10" s="17"/>
      <c r="XL10" s="17"/>
      <c r="XM10" s="17"/>
      <c r="XN10" s="17"/>
      <c r="XO10" s="17"/>
      <c r="XP10" s="17"/>
      <c r="XQ10" s="17"/>
      <c r="XR10" s="17"/>
      <c r="XS10" s="17"/>
      <c r="XT10" s="17"/>
      <c r="XU10" s="17"/>
      <c r="XV10" s="17"/>
      <c r="XW10" s="17"/>
      <c r="XX10" s="17"/>
      <c r="XY10" s="17"/>
      <c r="XZ10" s="17"/>
      <c r="YA10" s="17"/>
      <c r="YB10" s="17"/>
      <c r="YC10" s="17"/>
      <c r="YD10" s="17"/>
      <c r="YE10" s="17"/>
      <c r="YF10" s="17"/>
      <c r="YG10" s="17"/>
      <c r="YH10" s="17"/>
      <c r="YI10" s="17"/>
      <c r="YJ10" s="17"/>
      <c r="YK10" s="17"/>
      <c r="YL10" s="17"/>
      <c r="YM10" s="17"/>
      <c r="YN10" s="17"/>
      <c r="YO10" s="17"/>
      <c r="YP10" s="17"/>
      <c r="YQ10" s="17"/>
      <c r="YR10" s="17"/>
      <c r="YS10" s="17"/>
      <c r="YT10" s="17"/>
      <c r="YU10" s="17"/>
      <c r="YV10" s="17"/>
      <c r="YW10" s="17"/>
      <c r="YX10" s="17"/>
      <c r="YY10" s="17"/>
      <c r="YZ10" s="17"/>
      <c r="ZA10" s="17"/>
      <c r="ZB10" s="17"/>
      <c r="ZC10" s="17"/>
      <c r="ZD10" s="17"/>
      <c r="ZE10" s="17"/>
      <c r="ZF10" s="17"/>
      <c r="ZG10" s="17"/>
      <c r="ZH10" s="17"/>
      <c r="ZI10" s="17"/>
      <c r="ZJ10" s="17"/>
      <c r="ZK10" s="17"/>
      <c r="ZL10" s="17"/>
      <c r="ZM10" s="17"/>
      <c r="ZN10" s="17"/>
      <c r="ZO10" s="17"/>
      <c r="ZP10" s="17"/>
      <c r="ZQ10" s="17"/>
      <c r="ZR10" s="17"/>
      <c r="ZS10" s="17"/>
      <c r="ZT10" s="17"/>
      <c r="ZU10" s="17"/>
      <c r="ZV10" s="17"/>
      <c r="ZW10" s="17"/>
      <c r="ZX10" s="17"/>
      <c r="ZY10" s="17"/>
      <c r="ZZ10" s="17"/>
      <c r="AAA10" s="17"/>
      <c r="AAB10" s="17"/>
      <c r="AAC10" s="17"/>
      <c r="AAD10" s="17"/>
      <c r="AAE10" s="17"/>
      <c r="AAF10" s="17"/>
      <c r="AAG10" s="17"/>
      <c r="AAH10" s="17"/>
      <c r="AAI10" s="17"/>
      <c r="AAJ10" s="17"/>
      <c r="AAK10" s="17"/>
      <c r="AAL10" s="17"/>
      <c r="AAM10" s="17"/>
      <c r="AAN10" s="17"/>
      <c r="AAO10" s="17"/>
      <c r="AAP10" s="17"/>
      <c r="AAQ10" s="17"/>
      <c r="AAR10" s="17"/>
      <c r="AAS10" s="17"/>
      <c r="AAT10" s="17"/>
      <c r="AAU10" s="17"/>
      <c r="AAV10" s="17"/>
      <c r="AAW10" s="17"/>
      <c r="AAX10" s="17"/>
      <c r="AAY10" s="17"/>
      <c r="AAZ10" s="17"/>
      <c r="ABA10" s="17"/>
      <c r="ABB10" s="17"/>
      <c r="ABC10" s="17"/>
      <c r="ABD10" s="17"/>
      <c r="ABE10" s="17"/>
      <c r="ABF10" s="17"/>
      <c r="ABG10" s="17"/>
      <c r="ABH10" s="17"/>
      <c r="ABI10" s="17"/>
      <c r="ABJ10" s="17"/>
      <c r="ABK10" s="17"/>
      <c r="ABL10" s="17"/>
      <c r="ABM10" s="17"/>
      <c r="ABN10" s="17"/>
      <c r="ABO10" s="17"/>
      <c r="ABP10" s="17"/>
      <c r="ABQ10" s="17"/>
      <c r="ABR10" s="17"/>
      <c r="ABS10" s="17"/>
      <c r="ABT10" s="17"/>
      <c r="ABU10" s="17"/>
      <c r="ABV10" s="17"/>
      <c r="ABW10" s="17"/>
      <c r="ABX10" s="17"/>
      <c r="ABY10" s="17"/>
      <c r="ABZ10" s="17"/>
      <c r="ACA10" s="17"/>
      <c r="ACB10" s="17"/>
      <c r="ACC10" s="17"/>
      <c r="ACD10" s="17"/>
      <c r="ACE10" s="17"/>
      <c r="ACF10" s="17"/>
      <c r="ACG10" s="17"/>
      <c r="ACH10" s="17"/>
      <c r="ACI10" s="17"/>
      <c r="ACJ10" s="17"/>
      <c r="ACK10" s="17"/>
      <c r="ACL10" s="17"/>
      <c r="ACM10" s="17"/>
      <c r="ACN10" s="17"/>
      <c r="ACO10" s="17"/>
      <c r="ACP10" s="17"/>
      <c r="ACQ10" s="17"/>
      <c r="ACR10" s="17"/>
      <c r="ACS10" s="17"/>
      <c r="ACT10" s="17"/>
      <c r="ACU10" s="17"/>
      <c r="ACV10" s="17"/>
      <c r="ACW10" s="17"/>
      <c r="ACX10" s="17"/>
      <c r="ACY10" s="17"/>
      <c r="ACZ10" s="17"/>
      <c r="ADA10" s="17"/>
      <c r="ADB10" s="17"/>
      <c r="ADC10" s="17"/>
      <c r="ADD10" s="17"/>
      <c r="ADE10" s="17"/>
      <c r="ADF10" s="17"/>
      <c r="ADG10" s="17"/>
      <c r="ADH10" s="17"/>
      <c r="ADI10" s="17"/>
      <c r="ADJ10" s="17"/>
      <c r="ADK10" s="17"/>
      <c r="ADL10" s="17"/>
      <c r="ADM10" s="17"/>
      <c r="ADN10" s="17"/>
      <c r="ADO10" s="17"/>
      <c r="ADP10" s="17"/>
      <c r="ADQ10" s="17"/>
      <c r="ADR10" s="17"/>
      <c r="ADS10" s="17"/>
      <c r="ADT10" s="17"/>
      <c r="ADU10" s="17"/>
      <c r="ADV10" s="17"/>
      <c r="ADW10" s="17"/>
      <c r="ADX10" s="17"/>
      <c r="ADY10" s="17"/>
      <c r="ADZ10" s="17"/>
      <c r="AEA10" s="17"/>
      <c r="AEB10" s="17"/>
      <c r="AEC10" s="17"/>
      <c r="AED10" s="17"/>
      <c r="AEE10" s="17"/>
      <c r="AEF10" s="17"/>
      <c r="AEG10" s="17"/>
      <c r="AEH10" s="17"/>
      <c r="AEI10" s="17"/>
      <c r="AEJ10" s="17"/>
      <c r="AEK10" s="17"/>
      <c r="AEL10" s="17"/>
      <c r="AEM10" s="17"/>
      <c r="AEN10" s="17"/>
      <c r="AEO10" s="17"/>
      <c r="AEP10" s="17"/>
      <c r="AEQ10" s="17"/>
      <c r="AER10" s="17"/>
      <c r="AES10" s="17"/>
      <c r="AET10" s="17"/>
      <c r="AEU10" s="17"/>
      <c r="AEV10" s="17"/>
      <c r="AEW10" s="17"/>
      <c r="AEX10" s="17"/>
      <c r="AEY10" s="17"/>
      <c r="AEZ10" s="17"/>
      <c r="AFA10" s="17"/>
      <c r="AFB10" s="17"/>
      <c r="AFC10" s="17"/>
      <c r="AFD10" s="17"/>
      <c r="AFE10" s="17"/>
      <c r="AFF10" s="17"/>
      <c r="AFG10" s="17"/>
      <c r="AFH10" s="17"/>
      <c r="AFI10" s="17"/>
      <c r="AFJ10" s="17"/>
      <c r="AFK10" s="17"/>
      <c r="AFL10" s="17"/>
      <c r="AFM10" s="17"/>
      <c r="AFN10" s="17"/>
      <c r="AFO10" s="17"/>
      <c r="AFP10" s="17"/>
      <c r="AFQ10" s="17"/>
      <c r="AFR10" s="17"/>
      <c r="AFS10" s="17"/>
      <c r="AFT10" s="17"/>
      <c r="AFU10" s="17"/>
      <c r="AFV10" s="17"/>
      <c r="AFW10" s="17"/>
      <c r="AFX10" s="17"/>
      <c r="AFY10" s="17"/>
      <c r="AFZ10" s="17"/>
      <c r="AGA10" s="17"/>
      <c r="AGB10" s="17"/>
      <c r="AGC10" s="17"/>
      <c r="AGD10" s="17"/>
      <c r="AGE10" s="17"/>
      <c r="AGF10" s="17"/>
      <c r="AGG10" s="17"/>
      <c r="AGH10" s="17"/>
      <c r="AGI10" s="17"/>
      <c r="AGJ10" s="17"/>
      <c r="AGK10" s="17"/>
      <c r="AGL10" s="17"/>
      <c r="AGM10" s="17"/>
      <c r="AGN10" s="17"/>
      <c r="AGO10" s="17"/>
      <c r="AGP10" s="17"/>
      <c r="AGQ10" s="17"/>
      <c r="AGR10" s="17"/>
      <c r="AGS10" s="17"/>
      <c r="AGT10" s="17"/>
      <c r="AGU10" s="17"/>
      <c r="AGV10" s="17"/>
      <c r="AGW10" s="17"/>
      <c r="AGX10" s="17"/>
      <c r="AGY10" s="17"/>
      <c r="AGZ10" s="17"/>
      <c r="AHA10" s="17"/>
      <c r="AHB10" s="17"/>
      <c r="AHC10" s="17"/>
      <c r="AHD10" s="17"/>
      <c r="AHE10" s="17"/>
      <c r="AHF10" s="17"/>
      <c r="AHG10" s="17"/>
      <c r="AHH10" s="17"/>
      <c r="AHI10" s="17"/>
      <c r="AHJ10" s="17"/>
      <c r="AHK10" s="17"/>
      <c r="AHL10" s="17"/>
      <c r="AHM10" s="17"/>
      <c r="AHN10" s="17"/>
      <c r="AHO10" s="17"/>
      <c r="AHP10" s="17"/>
      <c r="AHQ10" s="17"/>
      <c r="AHR10" s="17"/>
      <c r="AHS10" s="17"/>
      <c r="AHT10" s="17"/>
      <c r="AHU10" s="17"/>
      <c r="AHV10" s="17"/>
      <c r="AHW10" s="17"/>
      <c r="AHX10" s="17"/>
      <c r="AHY10" s="17"/>
      <c r="AHZ10" s="17"/>
      <c r="AIA10" s="17"/>
      <c r="AIB10" s="17"/>
      <c r="AIC10" s="17"/>
      <c r="AID10" s="17"/>
      <c r="AIE10" s="17"/>
      <c r="AIF10" s="17"/>
      <c r="AIG10" s="17"/>
      <c r="AIH10" s="17"/>
      <c r="AII10" s="17"/>
      <c r="AIJ10" s="17"/>
      <c r="AIK10" s="17"/>
      <c r="AIL10" s="17"/>
      <c r="AIM10" s="17"/>
      <c r="AIN10" s="17"/>
      <c r="AIO10" s="17"/>
      <c r="AIP10" s="17"/>
      <c r="AIQ10" s="17"/>
      <c r="AIR10" s="17"/>
      <c r="AIS10" s="17"/>
      <c r="AIT10" s="17"/>
      <c r="AIU10" s="17"/>
      <c r="AIV10" s="17"/>
      <c r="AIW10" s="17"/>
      <c r="AIX10" s="17"/>
      <c r="AIY10" s="17"/>
      <c r="AIZ10" s="17"/>
      <c r="AJA10" s="17"/>
      <c r="AJB10" s="17"/>
      <c r="AJC10" s="17"/>
      <c r="AJD10" s="17"/>
      <c r="AJE10" s="17"/>
      <c r="AJF10" s="17"/>
      <c r="AJG10" s="17"/>
      <c r="AJH10" s="17"/>
      <c r="AJI10" s="17"/>
      <c r="AJJ10" s="17"/>
      <c r="AJK10" s="17"/>
      <c r="AJL10" s="17"/>
      <c r="AJM10" s="17"/>
      <c r="AJN10" s="17"/>
      <c r="AJO10" s="17"/>
      <c r="AJP10" s="17"/>
      <c r="AJQ10" s="17"/>
      <c r="AJR10" s="17"/>
      <c r="AJS10" s="17"/>
      <c r="AJT10" s="17"/>
      <c r="AJU10" s="17"/>
      <c r="AJV10" s="17"/>
      <c r="AJW10" s="17"/>
      <c r="AJX10" s="17"/>
      <c r="AJY10" s="17"/>
      <c r="AJZ10" s="17"/>
      <c r="AKA10" s="17"/>
      <c r="AKB10" s="17"/>
      <c r="AKC10" s="17"/>
      <c r="AKD10" s="17"/>
      <c r="AKE10" s="17"/>
      <c r="AKF10" s="17"/>
      <c r="AKG10" s="17"/>
      <c r="AKH10" s="17"/>
      <c r="AKI10" s="17"/>
      <c r="AKJ10" s="17"/>
      <c r="AKK10" s="17"/>
      <c r="AKL10" s="17"/>
      <c r="AKM10" s="17"/>
      <c r="AKN10" s="17"/>
      <c r="AKO10" s="17"/>
      <c r="AKP10" s="17"/>
      <c r="AKQ10" s="17"/>
      <c r="AKR10" s="17"/>
      <c r="AKS10" s="17"/>
      <c r="AKT10" s="17"/>
      <c r="AKU10" s="17"/>
      <c r="AKV10" s="17"/>
      <c r="AKW10" s="17"/>
      <c r="AKX10" s="17"/>
      <c r="AKY10" s="17"/>
      <c r="AKZ10" s="17"/>
      <c r="ALA10" s="17"/>
      <c r="ALB10" s="17"/>
      <c r="ALC10" s="17"/>
      <c r="ALD10" s="17"/>
      <c r="ALE10" s="17"/>
      <c r="ALF10" s="17"/>
      <c r="ALG10" s="17"/>
      <c r="ALH10" s="17"/>
      <c r="ALI10" s="17"/>
      <c r="ALJ10" s="17"/>
      <c r="ALK10" s="17"/>
      <c r="ALL10" s="17"/>
      <c r="ALM10" s="17"/>
      <c r="ALN10" s="17"/>
      <c r="ALO10" s="17"/>
      <c r="ALP10" s="17"/>
      <c r="ALQ10" s="17"/>
      <c r="ALR10" s="17"/>
      <c r="ALS10" s="17"/>
      <c r="ALT10" s="17"/>
      <c r="ALU10" s="17"/>
      <c r="ALV10" s="17"/>
      <c r="ALW10" s="17"/>
      <c r="ALX10" s="17"/>
      <c r="ALY10" s="17"/>
      <c r="ALZ10" s="17"/>
      <c r="AMA10" s="17"/>
      <c r="AMB10" s="17"/>
      <c r="AMC10" s="17"/>
      <c r="AMD10" s="17"/>
      <c r="AME10" s="17"/>
      <c r="AMF10" s="17"/>
      <c r="AMG10" s="17"/>
      <c r="AMH10" s="17"/>
      <c r="AMI10" s="17"/>
    </row>
    <row r="11" spans="1:1023" s="18" customFormat="1" ht="11.25" x14ac:dyDescent="0.2">
      <c r="A11" s="15"/>
      <c r="B11" s="24"/>
      <c r="C11" s="25"/>
      <c r="D11" s="26"/>
      <c r="E11" s="27" t="s">
        <v>60</v>
      </c>
      <c r="F11" s="26">
        <v>6</v>
      </c>
      <c r="G11" s="28">
        <v>56.38</v>
      </c>
      <c r="H11" s="31">
        <f>Table1[[#This Row],[LENGTH (in.)]]*Table1[[#This Row],[QTY.]]</f>
        <v>338.28000000000003</v>
      </c>
      <c r="I11" s="16"/>
      <c r="J11" s="16"/>
      <c r="K11" s="16"/>
      <c r="L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17"/>
      <c r="GO11" s="17"/>
      <c r="GP11" s="17"/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17"/>
      <c r="KP11" s="17"/>
      <c r="KQ11" s="17"/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17"/>
      <c r="MT11" s="17"/>
      <c r="MU11" s="17"/>
      <c r="MV11" s="17"/>
      <c r="MW11" s="17"/>
      <c r="MX11" s="17"/>
      <c r="MY11" s="17"/>
      <c r="MZ11" s="17"/>
      <c r="NA11" s="17"/>
      <c r="NB11" s="17"/>
      <c r="NC11" s="17"/>
      <c r="ND11" s="17"/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17"/>
      <c r="OX11" s="17"/>
      <c r="OY11" s="17"/>
      <c r="OZ11" s="17"/>
      <c r="PA11" s="17"/>
      <c r="PB11" s="17"/>
      <c r="PC11" s="17"/>
      <c r="PD11" s="17"/>
      <c r="PE11" s="17"/>
      <c r="PF11" s="17"/>
      <c r="PG11" s="17"/>
      <c r="PH11" s="17"/>
      <c r="PI11" s="17"/>
      <c r="PJ11" s="17"/>
      <c r="PK11" s="17"/>
      <c r="PL11" s="17"/>
      <c r="PM11" s="17"/>
      <c r="PN11" s="17"/>
      <c r="PO11" s="17"/>
      <c r="PP11" s="17"/>
      <c r="PQ11" s="17"/>
      <c r="PR11" s="17"/>
      <c r="PS11" s="17"/>
      <c r="PT11" s="17"/>
      <c r="PU11" s="17"/>
      <c r="PV11" s="17"/>
      <c r="PW11" s="17"/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17"/>
      <c r="RA11" s="17"/>
      <c r="RB11" s="17"/>
      <c r="RC11" s="17"/>
      <c r="RD11" s="17"/>
      <c r="RE11" s="17"/>
      <c r="RF11" s="17"/>
      <c r="RG11" s="17"/>
      <c r="RH11" s="17"/>
      <c r="RI11" s="17"/>
      <c r="RJ11" s="17"/>
      <c r="RK11" s="17"/>
      <c r="RL11" s="17"/>
      <c r="RM11" s="17"/>
      <c r="RN11" s="17"/>
      <c r="RO11" s="17"/>
      <c r="RP11" s="17"/>
      <c r="RQ11" s="17"/>
      <c r="RR11" s="17"/>
      <c r="RS11" s="17"/>
      <c r="RT11" s="17"/>
      <c r="RU11" s="17"/>
      <c r="RV11" s="17"/>
      <c r="RW11" s="17"/>
      <c r="RX11" s="17"/>
      <c r="RY11" s="17"/>
      <c r="RZ11" s="17"/>
      <c r="SA11" s="17"/>
      <c r="SB11" s="17"/>
      <c r="SC11" s="17"/>
      <c r="SD11" s="17"/>
      <c r="SE11" s="17"/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17"/>
      <c r="TQ11" s="17"/>
      <c r="TR11" s="17"/>
      <c r="TS11" s="17"/>
      <c r="TT11" s="17"/>
      <c r="TU11" s="17"/>
      <c r="TV11" s="17"/>
      <c r="TW11" s="17"/>
      <c r="TX11" s="17"/>
      <c r="TY11" s="17"/>
      <c r="TZ11" s="17"/>
      <c r="UA11" s="17"/>
      <c r="UB11" s="17"/>
      <c r="UC11" s="17"/>
      <c r="UD11" s="17"/>
      <c r="UE11" s="17"/>
      <c r="UF11" s="17"/>
      <c r="UG11" s="17"/>
      <c r="UH11" s="17"/>
      <c r="UI11" s="17"/>
      <c r="UJ11" s="17"/>
      <c r="UK11" s="17"/>
      <c r="UL11" s="17"/>
      <c r="UM11" s="17"/>
      <c r="UN11" s="17"/>
      <c r="UO11" s="17"/>
      <c r="UP11" s="17"/>
      <c r="UQ11" s="17"/>
      <c r="UR11" s="17"/>
      <c r="US11" s="17"/>
      <c r="UT11" s="17"/>
      <c r="UU11" s="17"/>
      <c r="UV11" s="17"/>
      <c r="UW11" s="17"/>
      <c r="UX11" s="17"/>
      <c r="UY11" s="17"/>
      <c r="UZ11" s="17"/>
      <c r="VA11" s="17"/>
      <c r="VB11" s="17"/>
      <c r="VC11" s="17"/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17"/>
      <c r="WG11" s="17"/>
      <c r="WH11" s="17"/>
      <c r="WI11" s="17"/>
      <c r="WJ11" s="17"/>
      <c r="WK11" s="17"/>
      <c r="WL11" s="17"/>
      <c r="WM11" s="17"/>
      <c r="WN11" s="17"/>
      <c r="WO11" s="17"/>
      <c r="WP11" s="17"/>
      <c r="WQ11" s="17"/>
      <c r="WR11" s="17"/>
      <c r="WS11" s="17"/>
      <c r="WT11" s="17"/>
      <c r="WU11" s="17"/>
      <c r="WV11" s="17"/>
      <c r="WW11" s="17"/>
      <c r="WX11" s="17"/>
      <c r="WY11" s="17"/>
      <c r="WZ11" s="17"/>
      <c r="XA11" s="17"/>
      <c r="XB11" s="17"/>
      <c r="XC11" s="17"/>
      <c r="XD11" s="17"/>
      <c r="XE11" s="17"/>
      <c r="XF11" s="17"/>
      <c r="XG11" s="17"/>
      <c r="XH11" s="17"/>
      <c r="XI11" s="17"/>
      <c r="XJ11" s="17"/>
      <c r="XK11" s="17"/>
      <c r="XL11" s="17"/>
      <c r="XM11" s="17"/>
      <c r="XN11" s="17"/>
      <c r="XO11" s="17"/>
      <c r="XP11" s="17"/>
      <c r="XQ11" s="17"/>
      <c r="XR11" s="17"/>
      <c r="XS11" s="17"/>
      <c r="XT11" s="17"/>
      <c r="XU11" s="17"/>
      <c r="XV11" s="17"/>
      <c r="XW11" s="17"/>
      <c r="XX11" s="17"/>
      <c r="XY11" s="17"/>
      <c r="XZ11" s="17"/>
      <c r="YA11" s="17"/>
      <c r="YB11" s="17"/>
      <c r="YC11" s="17"/>
      <c r="YD11" s="17"/>
      <c r="YE11" s="17"/>
      <c r="YF11" s="17"/>
      <c r="YG11" s="17"/>
      <c r="YH11" s="17"/>
      <c r="YI11" s="17"/>
      <c r="YJ11" s="17"/>
      <c r="YK11" s="17"/>
      <c r="YL11" s="17"/>
      <c r="YM11" s="17"/>
      <c r="YN11" s="17"/>
      <c r="YO11" s="17"/>
      <c r="YP11" s="17"/>
      <c r="YQ11" s="17"/>
      <c r="YR11" s="17"/>
      <c r="YS11" s="17"/>
      <c r="YT11" s="17"/>
      <c r="YU11" s="17"/>
      <c r="YV11" s="17"/>
      <c r="YW11" s="17"/>
      <c r="YX11" s="17"/>
      <c r="YY11" s="17"/>
      <c r="YZ11" s="17"/>
      <c r="ZA11" s="17"/>
      <c r="ZB11" s="17"/>
      <c r="ZC11" s="17"/>
      <c r="ZD11" s="17"/>
      <c r="ZE11" s="17"/>
      <c r="ZF11" s="17"/>
      <c r="ZG11" s="17"/>
      <c r="ZH11" s="17"/>
      <c r="ZI11" s="17"/>
      <c r="ZJ11" s="17"/>
      <c r="ZK11" s="17"/>
      <c r="ZL11" s="17"/>
      <c r="ZM11" s="17"/>
      <c r="ZN11" s="17"/>
      <c r="ZO11" s="17"/>
      <c r="ZP11" s="17"/>
      <c r="ZQ11" s="17"/>
      <c r="ZR11" s="17"/>
      <c r="ZS11" s="17"/>
      <c r="ZT11" s="17"/>
      <c r="ZU11" s="17"/>
      <c r="ZV11" s="17"/>
      <c r="ZW11" s="17"/>
      <c r="ZX11" s="17"/>
      <c r="ZY11" s="17"/>
      <c r="ZZ11" s="17"/>
      <c r="AAA11" s="17"/>
      <c r="AAB11" s="17"/>
      <c r="AAC11" s="17"/>
      <c r="AAD11" s="17"/>
      <c r="AAE11" s="17"/>
      <c r="AAF11" s="17"/>
      <c r="AAG11" s="17"/>
      <c r="AAH11" s="17"/>
      <c r="AAI11" s="17"/>
      <c r="AAJ11" s="17"/>
      <c r="AAK11" s="17"/>
      <c r="AAL11" s="17"/>
      <c r="AAM11" s="17"/>
      <c r="AAN11" s="17"/>
      <c r="AAO11" s="17"/>
      <c r="AAP11" s="17"/>
      <c r="AAQ11" s="17"/>
      <c r="AAR11" s="17"/>
      <c r="AAS11" s="17"/>
      <c r="AAT11" s="17"/>
      <c r="AAU11" s="17"/>
      <c r="AAV11" s="17"/>
      <c r="AAW11" s="17"/>
      <c r="AAX11" s="17"/>
      <c r="AAY11" s="17"/>
      <c r="AAZ11" s="17"/>
      <c r="ABA11" s="17"/>
      <c r="ABB11" s="17"/>
      <c r="ABC11" s="17"/>
      <c r="ABD11" s="17"/>
      <c r="ABE11" s="17"/>
      <c r="ABF11" s="17"/>
      <c r="ABG11" s="17"/>
      <c r="ABH11" s="17"/>
      <c r="ABI11" s="17"/>
      <c r="ABJ11" s="17"/>
      <c r="ABK11" s="17"/>
      <c r="ABL11" s="17"/>
      <c r="ABM11" s="17"/>
      <c r="ABN11" s="17"/>
      <c r="ABO11" s="17"/>
      <c r="ABP11" s="17"/>
      <c r="ABQ11" s="17"/>
      <c r="ABR11" s="17"/>
      <c r="ABS11" s="17"/>
      <c r="ABT11" s="17"/>
      <c r="ABU11" s="17"/>
      <c r="ABV11" s="17"/>
      <c r="ABW11" s="17"/>
      <c r="ABX11" s="17"/>
      <c r="ABY11" s="17"/>
      <c r="ABZ11" s="17"/>
      <c r="ACA11" s="17"/>
      <c r="ACB11" s="17"/>
      <c r="ACC11" s="17"/>
      <c r="ACD11" s="17"/>
      <c r="ACE11" s="17"/>
      <c r="ACF11" s="17"/>
      <c r="ACG11" s="17"/>
      <c r="ACH11" s="17"/>
      <c r="ACI11" s="17"/>
      <c r="ACJ11" s="17"/>
      <c r="ACK11" s="17"/>
      <c r="ACL11" s="17"/>
      <c r="ACM11" s="17"/>
      <c r="ACN11" s="17"/>
      <c r="ACO11" s="17"/>
      <c r="ACP11" s="17"/>
      <c r="ACQ11" s="17"/>
      <c r="ACR11" s="17"/>
      <c r="ACS11" s="17"/>
      <c r="ACT11" s="17"/>
      <c r="ACU11" s="17"/>
      <c r="ACV11" s="17"/>
      <c r="ACW11" s="17"/>
      <c r="ACX11" s="17"/>
      <c r="ACY11" s="17"/>
      <c r="ACZ11" s="17"/>
      <c r="ADA11" s="17"/>
      <c r="ADB11" s="17"/>
      <c r="ADC11" s="17"/>
      <c r="ADD11" s="17"/>
      <c r="ADE11" s="17"/>
      <c r="ADF11" s="17"/>
      <c r="ADG11" s="17"/>
      <c r="ADH11" s="17"/>
      <c r="ADI11" s="17"/>
      <c r="ADJ11" s="17"/>
      <c r="ADK11" s="17"/>
      <c r="ADL11" s="17"/>
      <c r="ADM11" s="17"/>
      <c r="ADN11" s="17"/>
      <c r="ADO11" s="17"/>
      <c r="ADP11" s="17"/>
      <c r="ADQ11" s="17"/>
      <c r="ADR11" s="17"/>
      <c r="ADS11" s="17"/>
      <c r="ADT11" s="17"/>
      <c r="ADU11" s="17"/>
      <c r="ADV11" s="17"/>
      <c r="ADW11" s="17"/>
      <c r="ADX11" s="17"/>
      <c r="ADY11" s="17"/>
      <c r="ADZ11" s="17"/>
      <c r="AEA11" s="17"/>
      <c r="AEB11" s="17"/>
      <c r="AEC11" s="17"/>
      <c r="AED11" s="17"/>
      <c r="AEE11" s="17"/>
      <c r="AEF11" s="17"/>
      <c r="AEG11" s="17"/>
      <c r="AEH11" s="17"/>
      <c r="AEI11" s="17"/>
      <c r="AEJ11" s="17"/>
      <c r="AEK11" s="17"/>
      <c r="AEL11" s="17"/>
      <c r="AEM11" s="17"/>
      <c r="AEN11" s="17"/>
      <c r="AEO11" s="17"/>
      <c r="AEP11" s="17"/>
      <c r="AEQ11" s="17"/>
      <c r="AER11" s="17"/>
      <c r="AES11" s="17"/>
      <c r="AET11" s="17"/>
      <c r="AEU11" s="17"/>
      <c r="AEV11" s="17"/>
      <c r="AEW11" s="17"/>
      <c r="AEX11" s="17"/>
      <c r="AEY11" s="17"/>
      <c r="AEZ11" s="17"/>
      <c r="AFA11" s="17"/>
      <c r="AFB11" s="17"/>
      <c r="AFC11" s="17"/>
      <c r="AFD11" s="17"/>
      <c r="AFE11" s="17"/>
      <c r="AFF11" s="17"/>
      <c r="AFG11" s="17"/>
      <c r="AFH11" s="17"/>
      <c r="AFI11" s="17"/>
      <c r="AFJ11" s="17"/>
      <c r="AFK11" s="17"/>
      <c r="AFL11" s="17"/>
      <c r="AFM11" s="17"/>
      <c r="AFN11" s="17"/>
      <c r="AFO11" s="17"/>
      <c r="AFP11" s="17"/>
      <c r="AFQ11" s="17"/>
      <c r="AFR11" s="17"/>
      <c r="AFS11" s="17"/>
      <c r="AFT11" s="17"/>
      <c r="AFU11" s="17"/>
      <c r="AFV11" s="17"/>
      <c r="AFW11" s="17"/>
      <c r="AFX11" s="17"/>
      <c r="AFY11" s="17"/>
      <c r="AFZ11" s="17"/>
      <c r="AGA11" s="17"/>
      <c r="AGB11" s="17"/>
      <c r="AGC11" s="17"/>
      <c r="AGD11" s="17"/>
      <c r="AGE11" s="17"/>
      <c r="AGF11" s="17"/>
      <c r="AGG11" s="17"/>
      <c r="AGH11" s="17"/>
      <c r="AGI11" s="17"/>
      <c r="AGJ11" s="17"/>
      <c r="AGK11" s="17"/>
      <c r="AGL11" s="17"/>
      <c r="AGM11" s="17"/>
      <c r="AGN11" s="17"/>
      <c r="AGO11" s="17"/>
      <c r="AGP11" s="17"/>
      <c r="AGQ11" s="17"/>
      <c r="AGR11" s="17"/>
      <c r="AGS11" s="17"/>
      <c r="AGT11" s="17"/>
      <c r="AGU11" s="17"/>
      <c r="AGV11" s="17"/>
      <c r="AGW11" s="17"/>
      <c r="AGX11" s="17"/>
      <c r="AGY11" s="17"/>
      <c r="AGZ11" s="17"/>
      <c r="AHA11" s="17"/>
      <c r="AHB11" s="17"/>
      <c r="AHC11" s="17"/>
      <c r="AHD11" s="17"/>
      <c r="AHE11" s="17"/>
      <c r="AHF11" s="17"/>
      <c r="AHG11" s="17"/>
      <c r="AHH11" s="17"/>
      <c r="AHI11" s="17"/>
      <c r="AHJ11" s="17"/>
      <c r="AHK11" s="17"/>
      <c r="AHL11" s="17"/>
      <c r="AHM11" s="17"/>
      <c r="AHN11" s="17"/>
      <c r="AHO11" s="17"/>
      <c r="AHP11" s="17"/>
      <c r="AHQ11" s="17"/>
      <c r="AHR11" s="17"/>
      <c r="AHS11" s="17"/>
      <c r="AHT11" s="17"/>
      <c r="AHU11" s="17"/>
      <c r="AHV11" s="17"/>
      <c r="AHW11" s="17"/>
      <c r="AHX11" s="17"/>
      <c r="AHY11" s="17"/>
      <c r="AHZ11" s="17"/>
      <c r="AIA11" s="17"/>
      <c r="AIB11" s="17"/>
      <c r="AIC11" s="17"/>
      <c r="AID11" s="17"/>
      <c r="AIE11" s="17"/>
      <c r="AIF11" s="17"/>
      <c r="AIG11" s="17"/>
      <c r="AIH11" s="17"/>
      <c r="AII11" s="17"/>
      <c r="AIJ11" s="17"/>
      <c r="AIK11" s="17"/>
      <c r="AIL11" s="17"/>
      <c r="AIM11" s="17"/>
      <c r="AIN11" s="17"/>
      <c r="AIO11" s="17"/>
      <c r="AIP11" s="17"/>
      <c r="AIQ11" s="17"/>
      <c r="AIR11" s="17"/>
      <c r="AIS11" s="17"/>
      <c r="AIT11" s="17"/>
      <c r="AIU11" s="17"/>
      <c r="AIV11" s="17"/>
      <c r="AIW11" s="17"/>
      <c r="AIX11" s="17"/>
      <c r="AIY11" s="17"/>
      <c r="AIZ11" s="17"/>
      <c r="AJA11" s="17"/>
      <c r="AJB11" s="17"/>
      <c r="AJC11" s="17"/>
      <c r="AJD11" s="17"/>
      <c r="AJE11" s="17"/>
      <c r="AJF11" s="17"/>
      <c r="AJG11" s="17"/>
      <c r="AJH11" s="17"/>
      <c r="AJI11" s="17"/>
      <c r="AJJ11" s="17"/>
      <c r="AJK11" s="17"/>
      <c r="AJL11" s="17"/>
      <c r="AJM11" s="17"/>
      <c r="AJN11" s="17"/>
      <c r="AJO11" s="17"/>
      <c r="AJP11" s="17"/>
      <c r="AJQ11" s="17"/>
      <c r="AJR11" s="17"/>
      <c r="AJS11" s="17"/>
      <c r="AJT11" s="17"/>
      <c r="AJU11" s="17"/>
      <c r="AJV11" s="17"/>
      <c r="AJW11" s="17"/>
      <c r="AJX11" s="17"/>
      <c r="AJY11" s="17"/>
      <c r="AJZ11" s="17"/>
      <c r="AKA11" s="17"/>
      <c r="AKB11" s="17"/>
      <c r="AKC11" s="17"/>
      <c r="AKD11" s="17"/>
      <c r="AKE11" s="17"/>
      <c r="AKF11" s="17"/>
      <c r="AKG11" s="17"/>
      <c r="AKH11" s="17"/>
      <c r="AKI11" s="17"/>
      <c r="AKJ11" s="17"/>
      <c r="AKK11" s="17"/>
      <c r="AKL11" s="17"/>
      <c r="AKM11" s="17"/>
      <c r="AKN11" s="17"/>
      <c r="AKO11" s="17"/>
      <c r="AKP11" s="17"/>
      <c r="AKQ11" s="17"/>
      <c r="AKR11" s="17"/>
      <c r="AKS11" s="17"/>
      <c r="AKT11" s="17"/>
      <c r="AKU11" s="17"/>
      <c r="AKV11" s="17"/>
      <c r="AKW11" s="17"/>
      <c r="AKX11" s="17"/>
      <c r="AKY11" s="17"/>
      <c r="AKZ11" s="17"/>
      <c r="ALA11" s="17"/>
      <c r="ALB11" s="17"/>
      <c r="ALC11" s="17"/>
      <c r="ALD11" s="17"/>
      <c r="ALE11" s="17"/>
      <c r="ALF11" s="17"/>
      <c r="ALG11" s="17"/>
      <c r="ALH11" s="17"/>
      <c r="ALI11" s="17"/>
      <c r="ALJ11" s="17"/>
      <c r="ALK11" s="17"/>
      <c r="ALL11" s="17"/>
      <c r="ALM11" s="17"/>
      <c r="ALN11" s="17"/>
      <c r="ALO11" s="17"/>
      <c r="ALP11" s="17"/>
      <c r="ALQ11" s="17"/>
      <c r="ALR11" s="17"/>
      <c r="ALS11" s="17"/>
      <c r="ALT11" s="17"/>
      <c r="ALU11" s="17"/>
      <c r="ALV11" s="17"/>
      <c r="ALW11" s="17"/>
      <c r="ALX11" s="17"/>
      <c r="ALY11" s="17"/>
      <c r="ALZ11" s="17"/>
      <c r="AMA11" s="17"/>
      <c r="AMB11" s="17"/>
      <c r="AMC11" s="17"/>
      <c r="AMD11" s="17"/>
      <c r="AME11" s="17"/>
      <c r="AMF11" s="17"/>
      <c r="AMG11" s="17"/>
      <c r="AMH11" s="17"/>
      <c r="AMI11" s="17"/>
    </row>
    <row r="12" spans="1:1023" s="18" customFormat="1" ht="11.25" x14ac:dyDescent="0.2">
      <c r="A12" s="15"/>
      <c r="B12" s="24"/>
      <c r="C12" s="25"/>
      <c r="D12" s="26"/>
      <c r="E12" s="27" t="s">
        <v>60</v>
      </c>
      <c r="F12" s="26">
        <v>6</v>
      </c>
      <c r="G12" s="28">
        <v>46.88</v>
      </c>
      <c r="H12" s="31">
        <f>Table1[[#This Row],[LENGTH (in.)]]*Table1[[#This Row],[QTY.]]</f>
        <v>281.28000000000003</v>
      </c>
      <c r="I12" s="16"/>
      <c r="J12" s="16"/>
      <c r="K12" s="16"/>
      <c r="L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17"/>
      <c r="GO12" s="17"/>
      <c r="GP12" s="17"/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17"/>
      <c r="KP12" s="17"/>
      <c r="KQ12" s="17"/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17"/>
      <c r="MT12" s="17"/>
      <c r="MU12" s="17"/>
      <c r="MV12" s="17"/>
      <c r="MW12" s="17"/>
      <c r="MX12" s="17"/>
      <c r="MY12" s="17"/>
      <c r="MZ12" s="17"/>
      <c r="NA12" s="17"/>
      <c r="NB12" s="17"/>
      <c r="NC12" s="17"/>
      <c r="ND12" s="17"/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17"/>
      <c r="OX12" s="17"/>
      <c r="OY12" s="17"/>
      <c r="OZ12" s="17"/>
      <c r="PA12" s="17"/>
      <c r="PB12" s="17"/>
      <c r="PC12" s="17"/>
      <c r="PD12" s="17"/>
      <c r="PE12" s="17"/>
      <c r="PF12" s="17"/>
      <c r="PG12" s="17"/>
      <c r="PH12" s="17"/>
      <c r="PI12" s="17"/>
      <c r="PJ12" s="17"/>
      <c r="PK12" s="17"/>
      <c r="PL12" s="17"/>
      <c r="PM12" s="17"/>
      <c r="PN12" s="17"/>
      <c r="PO12" s="17"/>
      <c r="PP12" s="17"/>
      <c r="PQ12" s="17"/>
      <c r="PR12" s="17"/>
      <c r="PS12" s="17"/>
      <c r="PT12" s="17"/>
      <c r="PU12" s="17"/>
      <c r="PV12" s="17"/>
      <c r="PW12" s="17"/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17"/>
      <c r="RA12" s="17"/>
      <c r="RB12" s="17"/>
      <c r="RC12" s="17"/>
      <c r="RD12" s="17"/>
      <c r="RE12" s="17"/>
      <c r="RF12" s="17"/>
      <c r="RG12" s="17"/>
      <c r="RH12" s="17"/>
      <c r="RI12" s="17"/>
      <c r="RJ12" s="17"/>
      <c r="RK12" s="17"/>
      <c r="RL12" s="17"/>
      <c r="RM12" s="17"/>
      <c r="RN12" s="17"/>
      <c r="RO12" s="17"/>
      <c r="RP12" s="17"/>
      <c r="RQ12" s="17"/>
      <c r="RR12" s="17"/>
      <c r="RS12" s="17"/>
      <c r="RT12" s="17"/>
      <c r="RU12" s="17"/>
      <c r="RV12" s="17"/>
      <c r="RW12" s="17"/>
      <c r="RX12" s="17"/>
      <c r="RY12" s="17"/>
      <c r="RZ12" s="17"/>
      <c r="SA12" s="17"/>
      <c r="SB12" s="17"/>
      <c r="SC12" s="17"/>
      <c r="SD12" s="17"/>
      <c r="SE12" s="17"/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17"/>
      <c r="TQ12" s="17"/>
      <c r="TR12" s="17"/>
      <c r="TS12" s="17"/>
      <c r="TT12" s="17"/>
      <c r="TU12" s="17"/>
      <c r="TV12" s="17"/>
      <c r="TW12" s="17"/>
      <c r="TX12" s="17"/>
      <c r="TY12" s="17"/>
      <c r="TZ12" s="17"/>
      <c r="UA12" s="17"/>
      <c r="UB12" s="17"/>
      <c r="UC12" s="17"/>
      <c r="UD12" s="17"/>
      <c r="UE12" s="17"/>
      <c r="UF12" s="17"/>
      <c r="UG12" s="17"/>
      <c r="UH12" s="17"/>
      <c r="UI12" s="17"/>
      <c r="UJ12" s="17"/>
      <c r="UK12" s="17"/>
      <c r="UL12" s="17"/>
      <c r="UM12" s="17"/>
      <c r="UN12" s="17"/>
      <c r="UO12" s="17"/>
      <c r="UP12" s="17"/>
      <c r="UQ12" s="17"/>
      <c r="UR12" s="17"/>
      <c r="US12" s="17"/>
      <c r="UT12" s="17"/>
      <c r="UU12" s="17"/>
      <c r="UV12" s="17"/>
      <c r="UW12" s="17"/>
      <c r="UX12" s="17"/>
      <c r="UY12" s="17"/>
      <c r="UZ12" s="17"/>
      <c r="VA12" s="17"/>
      <c r="VB12" s="17"/>
      <c r="VC12" s="17"/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17"/>
      <c r="WG12" s="17"/>
      <c r="WH12" s="17"/>
      <c r="WI12" s="17"/>
      <c r="WJ12" s="17"/>
      <c r="WK12" s="17"/>
      <c r="WL12" s="17"/>
      <c r="WM12" s="17"/>
      <c r="WN12" s="17"/>
      <c r="WO12" s="17"/>
      <c r="WP12" s="17"/>
      <c r="WQ12" s="17"/>
      <c r="WR12" s="17"/>
      <c r="WS12" s="17"/>
      <c r="WT12" s="17"/>
      <c r="WU12" s="17"/>
      <c r="WV12" s="17"/>
      <c r="WW12" s="17"/>
      <c r="WX12" s="17"/>
      <c r="WY12" s="17"/>
      <c r="WZ12" s="17"/>
      <c r="XA12" s="17"/>
      <c r="XB12" s="17"/>
      <c r="XC12" s="17"/>
      <c r="XD12" s="17"/>
      <c r="XE12" s="17"/>
      <c r="XF12" s="17"/>
      <c r="XG12" s="17"/>
      <c r="XH12" s="17"/>
      <c r="XI12" s="17"/>
      <c r="XJ12" s="17"/>
      <c r="XK12" s="17"/>
      <c r="XL12" s="17"/>
      <c r="XM12" s="17"/>
      <c r="XN12" s="17"/>
      <c r="XO12" s="17"/>
      <c r="XP12" s="17"/>
      <c r="XQ12" s="17"/>
      <c r="XR12" s="17"/>
      <c r="XS12" s="17"/>
      <c r="XT12" s="17"/>
      <c r="XU12" s="17"/>
      <c r="XV12" s="17"/>
      <c r="XW12" s="17"/>
      <c r="XX12" s="17"/>
      <c r="XY12" s="17"/>
      <c r="XZ12" s="17"/>
      <c r="YA12" s="17"/>
      <c r="YB12" s="17"/>
      <c r="YC12" s="17"/>
      <c r="YD12" s="17"/>
      <c r="YE12" s="17"/>
      <c r="YF12" s="17"/>
      <c r="YG12" s="17"/>
      <c r="YH12" s="17"/>
      <c r="YI12" s="17"/>
      <c r="YJ12" s="17"/>
      <c r="YK12" s="17"/>
      <c r="YL12" s="17"/>
      <c r="YM12" s="17"/>
      <c r="YN12" s="17"/>
      <c r="YO12" s="17"/>
      <c r="YP12" s="17"/>
      <c r="YQ12" s="17"/>
      <c r="YR12" s="17"/>
      <c r="YS12" s="17"/>
      <c r="YT12" s="17"/>
      <c r="YU12" s="17"/>
      <c r="YV12" s="17"/>
      <c r="YW12" s="17"/>
      <c r="YX12" s="17"/>
      <c r="YY12" s="17"/>
      <c r="YZ12" s="17"/>
      <c r="ZA12" s="17"/>
      <c r="ZB12" s="17"/>
      <c r="ZC12" s="17"/>
      <c r="ZD12" s="17"/>
      <c r="ZE12" s="17"/>
      <c r="ZF12" s="17"/>
      <c r="ZG12" s="17"/>
      <c r="ZH12" s="17"/>
      <c r="ZI12" s="17"/>
      <c r="ZJ12" s="17"/>
      <c r="ZK12" s="17"/>
      <c r="ZL12" s="17"/>
      <c r="ZM12" s="17"/>
      <c r="ZN12" s="17"/>
      <c r="ZO12" s="17"/>
      <c r="ZP12" s="17"/>
      <c r="ZQ12" s="17"/>
      <c r="ZR12" s="17"/>
      <c r="ZS12" s="17"/>
      <c r="ZT12" s="17"/>
      <c r="ZU12" s="17"/>
      <c r="ZV12" s="17"/>
      <c r="ZW12" s="17"/>
      <c r="ZX12" s="17"/>
      <c r="ZY12" s="17"/>
      <c r="ZZ12" s="17"/>
      <c r="AAA12" s="17"/>
      <c r="AAB12" s="17"/>
      <c r="AAC12" s="17"/>
      <c r="AAD12" s="17"/>
      <c r="AAE12" s="17"/>
      <c r="AAF12" s="17"/>
      <c r="AAG12" s="17"/>
      <c r="AAH12" s="17"/>
      <c r="AAI12" s="17"/>
      <c r="AAJ12" s="17"/>
      <c r="AAK12" s="17"/>
      <c r="AAL12" s="17"/>
      <c r="AAM12" s="17"/>
      <c r="AAN12" s="17"/>
      <c r="AAO12" s="17"/>
      <c r="AAP12" s="17"/>
      <c r="AAQ12" s="17"/>
      <c r="AAR12" s="17"/>
      <c r="AAS12" s="17"/>
      <c r="AAT12" s="17"/>
      <c r="AAU12" s="17"/>
      <c r="AAV12" s="17"/>
      <c r="AAW12" s="17"/>
      <c r="AAX12" s="17"/>
      <c r="AAY12" s="17"/>
      <c r="AAZ12" s="17"/>
      <c r="ABA12" s="17"/>
      <c r="ABB12" s="17"/>
      <c r="ABC12" s="17"/>
      <c r="ABD12" s="17"/>
      <c r="ABE12" s="17"/>
      <c r="ABF12" s="17"/>
      <c r="ABG12" s="17"/>
      <c r="ABH12" s="17"/>
      <c r="ABI12" s="17"/>
      <c r="ABJ12" s="17"/>
      <c r="ABK12" s="17"/>
      <c r="ABL12" s="17"/>
      <c r="ABM12" s="17"/>
      <c r="ABN12" s="17"/>
      <c r="ABO12" s="17"/>
      <c r="ABP12" s="17"/>
      <c r="ABQ12" s="17"/>
      <c r="ABR12" s="17"/>
      <c r="ABS12" s="17"/>
      <c r="ABT12" s="17"/>
      <c r="ABU12" s="17"/>
      <c r="ABV12" s="17"/>
      <c r="ABW12" s="17"/>
      <c r="ABX12" s="17"/>
      <c r="ABY12" s="17"/>
      <c r="ABZ12" s="17"/>
      <c r="ACA12" s="17"/>
      <c r="ACB12" s="17"/>
      <c r="ACC12" s="17"/>
      <c r="ACD12" s="17"/>
      <c r="ACE12" s="17"/>
      <c r="ACF12" s="17"/>
      <c r="ACG12" s="17"/>
      <c r="ACH12" s="17"/>
      <c r="ACI12" s="17"/>
      <c r="ACJ12" s="17"/>
      <c r="ACK12" s="17"/>
      <c r="ACL12" s="17"/>
      <c r="ACM12" s="17"/>
      <c r="ACN12" s="17"/>
      <c r="ACO12" s="17"/>
      <c r="ACP12" s="17"/>
      <c r="ACQ12" s="17"/>
      <c r="ACR12" s="17"/>
      <c r="ACS12" s="17"/>
      <c r="ACT12" s="17"/>
      <c r="ACU12" s="17"/>
      <c r="ACV12" s="17"/>
      <c r="ACW12" s="17"/>
      <c r="ACX12" s="17"/>
      <c r="ACY12" s="17"/>
      <c r="ACZ12" s="17"/>
      <c r="ADA12" s="17"/>
      <c r="ADB12" s="17"/>
      <c r="ADC12" s="17"/>
      <c r="ADD12" s="17"/>
      <c r="ADE12" s="17"/>
      <c r="ADF12" s="17"/>
      <c r="ADG12" s="17"/>
      <c r="ADH12" s="17"/>
      <c r="ADI12" s="17"/>
      <c r="ADJ12" s="17"/>
      <c r="ADK12" s="17"/>
      <c r="ADL12" s="17"/>
      <c r="ADM12" s="17"/>
      <c r="ADN12" s="17"/>
      <c r="ADO12" s="17"/>
      <c r="ADP12" s="17"/>
      <c r="ADQ12" s="17"/>
      <c r="ADR12" s="17"/>
      <c r="ADS12" s="17"/>
      <c r="ADT12" s="17"/>
      <c r="ADU12" s="17"/>
      <c r="ADV12" s="17"/>
      <c r="ADW12" s="17"/>
      <c r="ADX12" s="17"/>
      <c r="ADY12" s="17"/>
      <c r="ADZ12" s="17"/>
      <c r="AEA12" s="17"/>
      <c r="AEB12" s="17"/>
      <c r="AEC12" s="17"/>
      <c r="AED12" s="17"/>
      <c r="AEE12" s="17"/>
      <c r="AEF12" s="17"/>
      <c r="AEG12" s="17"/>
      <c r="AEH12" s="17"/>
      <c r="AEI12" s="17"/>
      <c r="AEJ12" s="17"/>
      <c r="AEK12" s="17"/>
      <c r="AEL12" s="17"/>
      <c r="AEM12" s="17"/>
      <c r="AEN12" s="17"/>
      <c r="AEO12" s="17"/>
      <c r="AEP12" s="17"/>
      <c r="AEQ12" s="17"/>
      <c r="AER12" s="17"/>
      <c r="AES12" s="17"/>
      <c r="AET12" s="17"/>
      <c r="AEU12" s="17"/>
      <c r="AEV12" s="17"/>
      <c r="AEW12" s="17"/>
      <c r="AEX12" s="17"/>
      <c r="AEY12" s="17"/>
      <c r="AEZ12" s="17"/>
      <c r="AFA12" s="17"/>
      <c r="AFB12" s="17"/>
      <c r="AFC12" s="17"/>
      <c r="AFD12" s="17"/>
      <c r="AFE12" s="17"/>
      <c r="AFF12" s="17"/>
      <c r="AFG12" s="17"/>
      <c r="AFH12" s="17"/>
      <c r="AFI12" s="17"/>
      <c r="AFJ12" s="17"/>
      <c r="AFK12" s="17"/>
      <c r="AFL12" s="17"/>
      <c r="AFM12" s="17"/>
      <c r="AFN12" s="17"/>
      <c r="AFO12" s="17"/>
      <c r="AFP12" s="17"/>
      <c r="AFQ12" s="17"/>
      <c r="AFR12" s="17"/>
      <c r="AFS12" s="17"/>
      <c r="AFT12" s="17"/>
      <c r="AFU12" s="17"/>
      <c r="AFV12" s="17"/>
      <c r="AFW12" s="17"/>
      <c r="AFX12" s="17"/>
      <c r="AFY12" s="17"/>
      <c r="AFZ12" s="17"/>
      <c r="AGA12" s="17"/>
      <c r="AGB12" s="17"/>
      <c r="AGC12" s="17"/>
      <c r="AGD12" s="17"/>
      <c r="AGE12" s="17"/>
      <c r="AGF12" s="17"/>
      <c r="AGG12" s="17"/>
      <c r="AGH12" s="17"/>
      <c r="AGI12" s="17"/>
      <c r="AGJ12" s="17"/>
      <c r="AGK12" s="17"/>
      <c r="AGL12" s="17"/>
      <c r="AGM12" s="17"/>
      <c r="AGN12" s="17"/>
      <c r="AGO12" s="17"/>
      <c r="AGP12" s="17"/>
      <c r="AGQ12" s="17"/>
      <c r="AGR12" s="17"/>
      <c r="AGS12" s="17"/>
      <c r="AGT12" s="17"/>
      <c r="AGU12" s="17"/>
      <c r="AGV12" s="17"/>
      <c r="AGW12" s="17"/>
      <c r="AGX12" s="17"/>
      <c r="AGY12" s="17"/>
      <c r="AGZ12" s="17"/>
      <c r="AHA12" s="17"/>
      <c r="AHB12" s="17"/>
      <c r="AHC12" s="17"/>
      <c r="AHD12" s="17"/>
      <c r="AHE12" s="17"/>
      <c r="AHF12" s="17"/>
      <c r="AHG12" s="17"/>
      <c r="AHH12" s="17"/>
      <c r="AHI12" s="17"/>
      <c r="AHJ12" s="17"/>
      <c r="AHK12" s="17"/>
      <c r="AHL12" s="17"/>
      <c r="AHM12" s="17"/>
      <c r="AHN12" s="17"/>
      <c r="AHO12" s="17"/>
      <c r="AHP12" s="17"/>
      <c r="AHQ12" s="17"/>
      <c r="AHR12" s="17"/>
      <c r="AHS12" s="17"/>
      <c r="AHT12" s="17"/>
      <c r="AHU12" s="17"/>
      <c r="AHV12" s="17"/>
      <c r="AHW12" s="17"/>
      <c r="AHX12" s="17"/>
      <c r="AHY12" s="17"/>
      <c r="AHZ12" s="17"/>
      <c r="AIA12" s="17"/>
      <c r="AIB12" s="17"/>
      <c r="AIC12" s="17"/>
      <c r="AID12" s="17"/>
      <c r="AIE12" s="17"/>
      <c r="AIF12" s="17"/>
      <c r="AIG12" s="17"/>
      <c r="AIH12" s="17"/>
      <c r="AII12" s="17"/>
      <c r="AIJ12" s="17"/>
      <c r="AIK12" s="17"/>
      <c r="AIL12" s="17"/>
      <c r="AIM12" s="17"/>
      <c r="AIN12" s="17"/>
      <c r="AIO12" s="17"/>
      <c r="AIP12" s="17"/>
      <c r="AIQ12" s="17"/>
      <c r="AIR12" s="17"/>
      <c r="AIS12" s="17"/>
      <c r="AIT12" s="17"/>
      <c r="AIU12" s="17"/>
      <c r="AIV12" s="17"/>
      <c r="AIW12" s="17"/>
      <c r="AIX12" s="17"/>
      <c r="AIY12" s="17"/>
      <c r="AIZ12" s="17"/>
      <c r="AJA12" s="17"/>
      <c r="AJB12" s="17"/>
      <c r="AJC12" s="17"/>
      <c r="AJD12" s="17"/>
      <c r="AJE12" s="17"/>
      <c r="AJF12" s="17"/>
      <c r="AJG12" s="17"/>
      <c r="AJH12" s="17"/>
      <c r="AJI12" s="17"/>
      <c r="AJJ12" s="17"/>
      <c r="AJK12" s="17"/>
      <c r="AJL12" s="17"/>
      <c r="AJM12" s="17"/>
      <c r="AJN12" s="17"/>
      <c r="AJO12" s="17"/>
      <c r="AJP12" s="17"/>
      <c r="AJQ12" s="17"/>
      <c r="AJR12" s="17"/>
      <c r="AJS12" s="17"/>
      <c r="AJT12" s="17"/>
      <c r="AJU12" s="17"/>
      <c r="AJV12" s="17"/>
      <c r="AJW12" s="17"/>
      <c r="AJX12" s="17"/>
      <c r="AJY12" s="17"/>
      <c r="AJZ12" s="17"/>
      <c r="AKA12" s="17"/>
      <c r="AKB12" s="17"/>
      <c r="AKC12" s="17"/>
      <c r="AKD12" s="17"/>
      <c r="AKE12" s="17"/>
      <c r="AKF12" s="17"/>
      <c r="AKG12" s="17"/>
      <c r="AKH12" s="17"/>
      <c r="AKI12" s="17"/>
      <c r="AKJ12" s="17"/>
      <c r="AKK12" s="17"/>
      <c r="AKL12" s="17"/>
      <c r="AKM12" s="17"/>
      <c r="AKN12" s="17"/>
      <c r="AKO12" s="17"/>
      <c r="AKP12" s="17"/>
      <c r="AKQ12" s="17"/>
      <c r="AKR12" s="17"/>
      <c r="AKS12" s="17"/>
      <c r="AKT12" s="17"/>
      <c r="AKU12" s="17"/>
      <c r="AKV12" s="17"/>
      <c r="AKW12" s="17"/>
      <c r="AKX12" s="17"/>
      <c r="AKY12" s="17"/>
      <c r="AKZ12" s="17"/>
      <c r="ALA12" s="17"/>
      <c r="ALB12" s="17"/>
      <c r="ALC12" s="17"/>
      <c r="ALD12" s="17"/>
      <c r="ALE12" s="17"/>
      <c r="ALF12" s="17"/>
      <c r="ALG12" s="17"/>
      <c r="ALH12" s="17"/>
      <c r="ALI12" s="17"/>
      <c r="ALJ12" s="17"/>
      <c r="ALK12" s="17"/>
      <c r="ALL12" s="17"/>
      <c r="ALM12" s="17"/>
      <c r="ALN12" s="17"/>
      <c r="ALO12" s="17"/>
      <c r="ALP12" s="17"/>
      <c r="ALQ12" s="17"/>
      <c r="ALR12" s="17"/>
      <c r="ALS12" s="17"/>
      <c r="ALT12" s="17"/>
      <c r="ALU12" s="17"/>
      <c r="ALV12" s="17"/>
      <c r="ALW12" s="17"/>
      <c r="ALX12" s="17"/>
      <c r="ALY12" s="17"/>
      <c r="ALZ12" s="17"/>
      <c r="AMA12" s="17"/>
      <c r="AMB12" s="17"/>
      <c r="AMC12" s="17"/>
      <c r="AMD12" s="17"/>
      <c r="AME12" s="17"/>
      <c r="AMF12" s="17"/>
      <c r="AMG12" s="17"/>
      <c r="AMH12" s="17"/>
      <c r="AMI12" s="17"/>
    </row>
    <row r="13" spans="1:1023" s="18" customFormat="1" ht="11.25" x14ac:dyDescent="0.2">
      <c r="A13" s="15"/>
      <c r="B13" s="24">
        <v>1370335</v>
      </c>
      <c r="C13" s="25"/>
      <c r="D13" s="26"/>
      <c r="E13" s="27" t="s">
        <v>94</v>
      </c>
      <c r="F13" s="26">
        <v>4</v>
      </c>
      <c r="G13" s="28">
        <v>27.25</v>
      </c>
      <c r="H13" s="31">
        <f>Table1[[#This Row],[LENGTH (in.)]]*Table1[[#This Row],[QTY.]]</f>
        <v>109</v>
      </c>
      <c r="I13" s="16"/>
      <c r="J13" s="16"/>
      <c r="K13" s="16"/>
      <c r="L13" s="20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  <c r="ADG13" s="17"/>
      <c r="ADH13" s="17"/>
      <c r="ADI13" s="17"/>
      <c r="ADJ13" s="17"/>
      <c r="ADK13" s="17"/>
      <c r="ADL13" s="17"/>
      <c r="ADM13" s="17"/>
      <c r="ADN13" s="17"/>
      <c r="ADO13" s="17"/>
      <c r="ADP13" s="17"/>
      <c r="ADQ13" s="17"/>
      <c r="ADR13" s="17"/>
      <c r="ADS13" s="17"/>
      <c r="ADT13" s="17"/>
      <c r="ADU13" s="17"/>
      <c r="ADV13" s="17"/>
      <c r="ADW13" s="17"/>
      <c r="ADX13" s="17"/>
      <c r="ADY13" s="17"/>
      <c r="ADZ13" s="17"/>
      <c r="AEA13" s="17"/>
      <c r="AEB13" s="17"/>
      <c r="AEC13" s="17"/>
      <c r="AED13" s="17"/>
      <c r="AEE13" s="17"/>
      <c r="AEF13" s="17"/>
      <c r="AEG13" s="17"/>
      <c r="AEH13" s="17"/>
      <c r="AEI13" s="17"/>
      <c r="AEJ13" s="17"/>
      <c r="AEK13" s="17"/>
      <c r="AEL13" s="17"/>
      <c r="AEM13" s="17"/>
      <c r="AEN13" s="17"/>
      <c r="AEO13" s="17"/>
      <c r="AEP13" s="17"/>
      <c r="AEQ13" s="17"/>
      <c r="AER13" s="17"/>
      <c r="AES13" s="17"/>
      <c r="AET13" s="17"/>
      <c r="AEU13" s="17"/>
      <c r="AEV13" s="17"/>
      <c r="AEW13" s="17"/>
      <c r="AEX13" s="17"/>
      <c r="AEY13" s="17"/>
      <c r="AEZ13" s="17"/>
      <c r="AFA13" s="17"/>
      <c r="AFB13" s="17"/>
      <c r="AFC13" s="17"/>
      <c r="AFD13" s="17"/>
      <c r="AFE13" s="17"/>
      <c r="AFF13" s="17"/>
      <c r="AFG13" s="17"/>
      <c r="AFH13" s="17"/>
      <c r="AFI13" s="17"/>
      <c r="AFJ13" s="17"/>
      <c r="AFK13" s="17"/>
      <c r="AFL13" s="17"/>
      <c r="AFM13" s="17"/>
      <c r="AFN13" s="17"/>
      <c r="AFO13" s="17"/>
      <c r="AFP13" s="17"/>
      <c r="AFQ13" s="17"/>
      <c r="AFR13" s="17"/>
      <c r="AFS13" s="17"/>
      <c r="AFT13" s="17"/>
      <c r="AFU13" s="17"/>
      <c r="AFV13" s="17"/>
      <c r="AFW13" s="17"/>
      <c r="AFX13" s="17"/>
      <c r="AFY13" s="17"/>
      <c r="AFZ13" s="17"/>
      <c r="AGA13" s="17"/>
      <c r="AGB13" s="17"/>
      <c r="AGC13" s="17"/>
      <c r="AGD13" s="17"/>
      <c r="AGE13" s="17"/>
      <c r="AGF13" s="17"/>
      <c r="AGG13" s="17"/>
      <c r="AGH13" s="17"/>
      <c r="AGI13" s="17"/>
      <c r="AGJ13" s="17"/>
      <c r="AGK13" s="17"/>
      <c r="AGL13" s="17"/>
      <c r="AGM13" s="17"/>
      <c r="AGN13" s="17"/>
      <c r="AGO13" s="17"/>
      <c r="AGP13" s="17"/>
      <c r="AGQ13" s="17"/>
      <c r="AGR13" s="17"/>
      <c r="AGS13" s="17"/>
      <c r="AGT13" s="17"/>
      <c r="AGU13" s="17"/>
      <c r="AGV13" s="17"/>
      <c r="AGW13" s="17"/>
      <c r="AGX13" s="17"/>
      <c r="AGY13" s="17"/>
      <c r="AGZ13" s="17"/>
      <c r="AHA13" s="17"/>
      <c r="AHB13" s="17"/>
      <c r="AHC13" s="17"/>
      <c r="AHD13" s="17"/>
      <c r="AHE13" s="17"/>
      <c r="AHF13" s="17"/>
      <c r="AHG13" s="17"/>
      <c r="AHH13" s="17"/>
      <c r="AHI13" s="17"/>
      <c r="AHJ13" s="17"/>
      <c r="AHK13" s="17"/>
      <c r="AHL13" s="17"/>
      <c r="AHM13" s="17"/>
      <c r="AHN13" s="17"/>
      <c r="AHO13" s="17"/>
      <c r="AHP13" s="17"/>
      <c r="AHQ13" s="17"/>
      <c r="AHR13" s="17"/>
      <c r="AHS13" s="17"/>
      <c r="AHT13" s="17"/>
      <c r="AHU13" s="17"/>
      <c r="AHV13" s="17"/>
      <c r="AHW13" s="17"/>
      <c r="AHX13" s="17"/>
      <c r="AHY13" s="17"/>
      <c r="AHZ13" s="17"/>
      <c r="AIA13" s="17"/>
      <c r="AIB13" s="17"/>
      <c r="AIC13" s="17"/>
      <c r="AID13" s="17"/>
      <c r="AIE13" s="17"/>
      <c r="AIF13" s="17"/>
      <c r="AIG13" s="17"/>
      <c r="AIH13" s="17"/>
      <c r="AII13" s="17"/>
      <c r="AIJ13" s="17"/>
      <c r="AIK13" s="17"/>
      <c r="AIL13" s="17"/>
      <c r="AIM13" s="17"/>
      <c r="AIN13" s="17"/>
      <c r="AIO13" s="17"/>
      <c r="AIP13" s="17"/>
      <c r="AIQ13" s="17"/>
      <c r="AIR13" s="17"/>
      <c r="AIS13" s="17"/>
      <c r="AIT13" s="17"/>
      <c r="AIU13" s="17"/>
      <c r="AIV13" s="17"/>
      <c r="AIW13" s="17"/>
      <c r="AIX13" s="17"/>
      <c r="AIY13" s="17"/>
      <c r="AIZ13" s="17"/>
      <c r="AJA13" s="17"/>
      <c r="AJB13" s="17"/>
      <c r="AJC13" s="17"/>
      <c r="AJD13" s="17"/>
      <c r="AJE13" s="17"/>
      <c r="AJF13" s="17"/>
      <c r="AJG13" s="17"/>
      <c r="AJH13" s="17"/>
      <c r="AJI13" s="17"/>
      <c r="AJJ13" s="17"/>
      <c r="AJK13" s="17"/>
      <c r="AJL13" s="17"/>
      <c r="AJM13" s="17"/>
      <c r="AJN13" s="17"/>
      <c r="AJO13" s="17"/>
      <c r="AJP13" s="17"/>
      <c r="AJQ13" s="17"/>
      <c r="AJR13" s="17"/>
      <c r="AJS13" s="17"/>
      <c r="AJT13" s="17"/>
      <c r="AJU13" s="17"/>
      <c r="AJV13" s="17"/>
      <c r="AJW13" s="17"/>
      <c r="AJX13" s="17"/>
      <c r="AJY13" s="17"/>
      <c r="AJZ13" s="17"/>
      <c r="AKA13" s="17"/>
      <c r="AKB13" s="17"/>
      <c r="AKC13" s="17"/>
      <c r="AKD13" s="17"/>
      <c r="AKE13" s="17"/>
      <c r="AKF13" s="17"/>
      <c r="AKG13" s="17"/>
      <c r="AKH13" s="17"/>
      <c r="AKI13" s="17"/>
      <c r="AKJ13" s="17"/>
      <c r="AKK13" s="17"/>
      <c r="AKL13" s="17"/>
      <c r="AKM13" s="17"/>
      <c r="AKN13" s="17"/>
      <c r="AKO13" s="17"/>
      <c r="AKP13" s="17"/>
      <c r="AKQ13" s="17"/>
      <c r="AKR13" s="17"/>
      <c r="AKS13" s="17"/>
      <c r="AKT13" s="17"/>
      <c r="AKU13" s="17"/>
      <c r="AKV13" s="17"/>
      <c r="AKW13" s="17"/>
      <c r="AKX13" s="17"/>
      <c r="AKY13" s="17"/>
      <c r="AKZ13" s="17"/>
      <c r="ALA13" s="17"/>
      <c r="ALB13" s="17"/>
      <c r="ALC13" s="17"/>
      <c r="ALD13" s="17"/>
      <c r="ALE13" s="17"/>
      <c r="ALF13" s="17"/>
      <c r="ALG13" s="17"/>
      <c r="ALH13" s="17"/>
      <c r="ALI13" s="17"/>
      <c r="ALJ13" s="17"/>
      <c r="ALK13" s="17"/>
      <c r="ALL13" s="17"/>
      <c r="ALM13" s="17"/>
      <c r="ALN13" s="17"/>
      <c r="ALO13" s="17"/>
      <c r="ALP13" s="17"/>
      <c r="ALQ13" s="17"/>
      <c r="ALR13" s="17"/>
      <c r="ALS13" s="17"/>
      <c r="ALT13" s="17"/>
      <c r="ALU13" s="17"/>
      <c r="ALV13" s="17"/>
      <c r="ALW13" s="17"/>
      <c r="ALX13" s="17"/>
      <c r="ALY13" s="17"/>
      <c r="ALZ13" s="17"/>
      <c r="AMA13" s="17"/>
      <c r="AMB13" s="17"/>
      <c r="AMC13" s="17"/>
      <c r="AMD13" s="17"/>
      <c r="AME13" s="17"/>
      <c r="AMF13" s="17"/>
      <c r="AMG13" s="17"/>
      <c r="AMH13" s="17"/>
      <c r="AMI13" s="17"/>
    </row>
    <row r="14" spans="1:1023" s="18" customFormat="1" ht="11.25" x14ac:dyDescent="0.2">
      <c r="A14" s="15"/>
      <c r="B14" s="16"/>
      <c r="C14" s="16"/>
      <c r="D14" s="32"/>
      <c r="E14" s="33" t="s">
        <v>94</v>
      </c>
      <c r="F14" s="34">
        <v>32</v>
      </c>
      <c r="G14" s="35">
        <v>15.69</v>
      </c>
      <c r="H14" s="31">
        <f>Table1[[#This Row],[LENGTH (in.)]]*Table1[[#This Row],[QTY.]]</f>
        <v>502.08</v>
      </c>
      <c r="I14" s="17"/>
      <c r="J14" s="17"/>
      <c r="K14" s="17"/>
      <c r="L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</row>
    <row r="15" spans="1:1023" s="18" customFormat="1" ht="11.25" x14ac:dyDescent="0.2">
      <c r="A15" s="15"/>
      <c r="B15" s="16"/>
      <c r="C15" s="16"/>
      <c r="D15" s="32"/>
      <c r="E15" s="33" t="s">
        <v>94</v>
      </c>
      <c r="F15" s="34">
        <v>1</v>
      </c>
      <c r="G15" s="35">
        <v>15.64</v>
      </c>
      <c r="H15" s="31">
        <f>Table1[[#This Row],[LENGTH (in.)]]*Table1[[#This Row],[QTY.]]</f>
        <v>15.64</v>
      </c>
      <c r="I15" s="17"/>
      <c r="J15" s="17"/>
      <c r="K15" s="17"/>
      <c r="L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</row>
    <row r="16" spans="1:1023" s="18" customFormat="1" ht="11.25" x14ac:dyDescent="0.2">
      <c r="A16" s="15"/>
      <c r="B16" s="16"/>
      <c r="C16" s="16"/>
      <c r="D16" s="32"/>
      <c r="E16" s="33" t="s">
        <v>94</v>
      </c>
      <c r="F16" s="34">
        <v>1</v>
      </c>
      <c r="G16" s="35">
        <v>14.86</v>
      </c>
      <c r="H16" s="31">
        <f>Table1[[#This Row],[LENGTH (in.)]]*Table1[[#This Row],[QTY.]]</f>
        <v>14.86</v>
      </c>
      <c r="I16" s="17"/>
      <c r="J16" s="17"/>
      <c r="K16" s="17"/>
      <c r="L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</row>
    <row r="17" spans="1:1023" s="18" customFormat="1" ht="11.25" x14ac:dyDescent="0.2">
      <c r="A17" s="15"/>
      <c r="B17" s="16"/>
      <c r="C17" s="16"/>
      <c r="D17" s="32"/>
      <c r="E17" s="33" t="s">
        <v>94</v>
      </c>
      <c r="F17" s="34">
        <v>1</v>
      </c>
      <c r="G17" s="35">
        <v>13.64</v>
      </c>
      <c r="H17" s="31">
        <f>Table1[[#This Row],[LENGTH (in.)]]*Table1[[#This Row],[QTY.]]</f>
        <v>13.64</v>
      </c>
      <c r="I17" s="17"/>
      <c r="J17" s="17"/>
      <c r="K17" s="17"/>
      <c r="L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</row>
    <row r="18" spans="1:1023" s="18" customFormat="1" ht="11.25" x14ac:dyDescent="0.2">
      <c r="A18" s="15"/>
      <c r="B18" s="16" t="s">
        <v>111</v>
      </c>
      <c r="C18" s="16"/>
      <c r="D18" s="32"/>
      <c r="E18" s="33" t="s">
        <v>112</v>
      </c>
      <c r="F18" s="34">
        <v>1</v>
      </c>
      <c r="G18" s="35">
        <v>121</v>
      </c>
      <c r="H18" s="31">
        <f>Table1[[#This Row],[LENGTH (in.)]]*Table1[[#This Row],[QTY.]]</f>
        <v>121</v>
      </c>
      <c r="I18" s="17"/>
      <c r="J18" s="17"/>
      <c r="K18" s="17"/>
      <c r="L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</row>
    <row r="19" spans="1:1023" s="18" customFormat="1" ht="11.25" x14ac:dyDescent="0.2">
      <c r="A19" s="15"/>
      <c r="B19" s="16" t="s">
        <v>111</v>
      </c>
      <c r="C19" s="16"/>
      <c r="D19" s="32"/>
      <c r="E19" s="33" t="s">
        <v>112</v>
      </c>
      <c r="F19" s="34">
        <v>3</v>
      </c>
      <c r="G19" s="35">
        <v>113.75</v>
      </c>
      <c r="H19" s="31">
        <f>Table1[[#This Row],[LENGTH (in.)]]*Table1[[#This Row],[QTY.]]</f>
        <v>341.25</v>
      </c>
      <c r="I19" s="17"/>
      <c r="J19" s="17"/>
      <c r="K19" s="17"/>
      <c r="L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</row>
    <row r="20" spans="1:1023" s="18" customFormat="1" ht="11.25" x14ac:dyDescent="0.2">
      <c r="A20" s="15"/>
      <c r="B20" s="16" t="s">
        <v>111</v>
      </c>
      <c r="C20" s="16"/>
      <c r="D20" s="32"/>
      <c r="E20" s="33" t="s">
        <v>112</v>
      </c>
      <c r="F20" s="34">
        <v>6</v>
      </c>
      <c r="G20" s="35">
        <v>4</v>
      </c>
      <c r="H20" s="31">
        <f>Table1[[#This Row],[LENGTH (in.)]]*Table1[[#This Row],[QTY.]]</f>
        <v>24</v>
      </c>
      <c r="I20" s="17"/>
      <c r="J20" s="17"/>
      <c r="K20" s="17"/>
      <c r="L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</row>
    <row r="21" spans="1:1023" s="18" customFormat="1" ht="11.25" x14ac:dyDescent="0.2">
      <c r="A21" s="15">
        <v>19</v>
      </c>
      <c r="B21" s="16"/>
      <c r="C21" s="16"/>
      <c r="D21" s="32"/>
      <c r="E21" s="33" t="s">
        <v>113</v>
      </c>
      <c r="F21" s="34">
        <v>2</v>
      </c>
      <c r="G21" s="35">
        <v>32.880000000000003</v>
      </c>
      <c r="H21" s="31">
        <f>Table1[[#This Row],[LENGTH (in.)]]*Table1[[#This Row],[QTY.]]</f>
        <v>65.760000000000005</v>
      </c>
      <c r="I21" s="17"/>
      <c r="J21" s="17"/>
      <c r="K21" s="17"/>
      <c r="L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</row>
    <row r="22" spans="1:1023" s="18" customFormat="1" ht="11.25" x14ac:dyDescent="0.2">
      <c r="A22" s="15">
        <v>20</v>
      </c>
      <c r="B22" s="16"/>
      <c r="C22" s="16"/>
      <c r="D22" s="32"/>
      <c r="E22" s="33" t="s">
        <v>113</v>
      </c>
      <c r="F22" s="34">
        <v>1</v>
      </c>
      <c r="G22" s="35">
        <v>25.03</v>
      </c>
      <c r="H22" s="31">
        <f>Table1[[#This Row],[LENGTH (in.)]]*Table1[[#This Row],[QTY.]]</f>
        <v>25.03</v>
      </c>
      <c r="I22" s="17"/>
      <c r="J22" s="17"/>
      <c r="K22" s="17"/>
      <c r="L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</row>
    <row r="23" spans="1:1023" s="18" customFormat="1" ht="11.25" x14ac:dyDescent="0.2">
      <c r="A23" s="15">
        <v>18</v>
      </c>
      <c r="B23" s="16">
        <v>1371218</v>
      </c>
      <c r="C23" s="16"/>
      <c r="D23" s="32"/>
      <c r="E23" s="33" t="s">
        <v>91</v>
      </c>
      <c r="F23" s="34">
        <v>3</v>
      </c>
      <c r="G23" s="35">
        <v>576</v>
      </c>
      <c r="H23" s="31">
        <f>Table1[[#This Row],[LENGTH (in.)]]*Table1[[#This Row],[QTY.]]</f>
        <v>1728</v>
      </c>
      <c r="I23" s="17"/>
      <c r="J23" s="17"/>
      <c r="K23" s="17"/>
      <c r="L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</row>
    <row r="24" spans="1:1023" s="18" customFormat="1" ht="11.25" x14ac:dyDescent="0.2">
      <c r="A24" s="15"/>
      <c r="B24" s="16"/>
      <c r="C24" s="16"/>
      <c r="D24" s="32"/>
      <c r="E24" s="33" t="s">
        <v>91</v>
      </c>
      <c r="F24" s="34">
        <v>3</v>
      </c>
      <c r="G24" s="35">
        <v>125.4</v>
      </c>
      <c r="H24" s="31">
        <f>Table1[[#This Row],[LENGTH (in.)]]*Table1[[#This Row],[QTY.]]</f>
        <v>376.20000000000005</v>
      </c>
      <c r="I24" s="17"/>
      <c r="J24" s="17"/>
      <c r="K24" s="17"/>
      <c r="L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</row>
    <row r="25" spans="1:1023" s="18" customFormat="1" ht="11.25" x14ac:dyDescent="0.2">
      <c r="A25" s="15"/>
      <c r="B25" s="16">
        <v>1371220</v>
      </c>
      <c r="C25" s="16"/>
      <c r="D25" s="32"/>
      <c r="E25" s="33" t="s">
        <v>91</v>
      </c>
      <c r="F25" s="34">
        <v>1</v>
      </c>
      <c r="G25" s="35">
        <v>576</v>
      </c>
      <c r="H25" s="31">
        <f>Table1[[#This Row],[LENGTH (in.)]]*Table1[[#This Row],[QTY.]]</f>
        <v>576</v>
      </c>
      <c r="I25" s="17"/>
      <c r="J25" s="17"/>
      <c r="K25" s="17"/>
      <c r="L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</row>
    <row r="26" spans="1:1023" s="18" customFormat="1" ht="11.25" x14ac:dyDescent="0.2">
      <c r="A26" s="15"/>
      <c r="B26" s="16"/>
      <c r="C26" s="16"/>
      <c r="D26" s="32"/>
      <c r="E26" s="33" t="s">
        <v>91</v>
      </c>
      <c r="F26" s="34">
        <v>1</v>
      </c>
      <c r="G26" s="35">
        <v>23.39</v>
      </c>
      <c r="H26" s="31">
        <f>Table1[[#This Row],[LENGTH (in.)]]*Table1[[#This Row],[QTY.]]</f>
        <v>23.39</v>
      </c>
      <c r="I26" s="17"/>
      <c r="J26" s="17"/>
      <c r="K26" s="17"/>
      <c r="L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</row>
    <row r="27" spans="1:1023" x14ac:dyDescent="0.25">
      <c r="A27" s="16">
        <v>13</v>
      </c>
      <c r="B27" s="16">
        <v>1370303</v>
      </c>
      <c r="C27" s="16"/>
      <c r="D27" s="32"/>
      <c r="E27" s="36" t="s">
        <v>91</v>
      </c>
      <c r="F27" s="37">
        <v>4</v>
      </c>
      <c r="G27" s="38">
        <v>135.5</v>
      </c>
      <c r="H27" s="31">
        <f>Table1[[#This Row],[LENGTH (in.)]]*Table1[[#This Row],[QTY.]]</f>
        <v>542</v>
      </c>
      <c r="I27" s="17"/>
      <c r="J27" s="17"/>
      <c r="K27" s="17"/>
    </row>
    <row r="28" spans="1:1023" x14ac:dyDescent="0.25">
      <c r="A28" s="16">
        <v>15</v>
      </c>
      <c r="B28" s="16">
        <v>1370315</v>
      </c>
      <c r="C28" s="16"/>
      <c r="D28" s="32"/>
      <c r="E28" s="36" t="s">
        <v>91</v>
      </c>
      <c r="F28" s="37">
        <v>1</v>
      </c>
      <c r="G28" s="38">
        <v>135.5</v>
      </c>
      <c r="H28" s="31">
        <f>Table1[[#This Row],[LENGTH (in.)]]*Table1[[#This Row],[QTY.]]</f>
        <v>135.5</v>
      </c>
      <c r="I28" s="17"/>
      <c r="J28" s="17"/>
      <c r="K28" s="17"/>
    </row>
    <row r="29" spans="1:1023" x14ac:dyDescent="0.25">
      <c r="A29" s="16">
        <v>14</v>
      </c>
      <c r="B29" s="16">
        <v>1370305</v>
      </c>
      <c r="C29" s="16"/>
      <c r="D29" s="32"/>
      <c r="E29" s="36" t="s">
        <v>91</v>
      </c>
      <c r="F29" s="37">
        <v>5</v>
      </c>
      <c r="G29" s="38">
        <v>132.25</v>
      </c>
      <c r="H29" s="31">
        <f>Table1[[#This Row],[LENGTH (in.)]]*Table1[[#This Row],[QTY.]]</f>
        <v>661.25</v>
      </c>
      <c r="I29" s="17"/>
      <c r="J29" s="17"/>
      <c r="K29" s="17"/>
    </row>
    <row r="30" spans="1:1023" x14ac:dyDescent="0.25">
      <c r="A30" s="16">
        <v>16</v>
      </c>
      <c r="B30" s="16">
        <v>1370320</v>
      </c>
      <c r="C30" s="16"/>
      <c r="D30" s="32"/>
      <c r="E30" s="36" t="s">
        <v>91</v>
      </c>
      <c r="F30" s="37">
        <v>3</v>
      </c>
      <c r="G30" s="38">
        <v>132.25</v>
      </c>
      <c r="H30" s="31">
        <f>Table1[[#This Row],[LENGTH (in.)]]*Table1[[#This Row],[QTY.]]</f>
        <v>396.75</v>
      </c>
      <c r="I30" s="17"/>
      <c r="J30" s="17"/>
      <c r="K30" s="17"/>
    </row>
    <row r="31" spans="1:1023" x14ac:dyDescent="0.25">
      <c r="A31" s="16"/>
      <c r="B31" s="16">
        <v>1370330</v>
      </c>
      <c r="C31" s="16"/>
      <c r="D31" s="32"/>
      <c r="E31" s="36" t="s">
        <v>114</v>
      </c>
      <c r="F31" s="37">
        <v>1</v>
      </c>
      <c r="G31" s="38">
        <v>65</v>
      </c>
      <c r="H31" s="31">
        <f>Table1[[#This Row],[LENGTH (in.)]]*Table1[[#This Row],[QTY.]]</f>
        <v>65</v>
      </c>
      <c r="I31" s="17"/>
      <c r="J31" s="17"/>
      <c r="K31" s="17"/>
    </row>
    <row r="32" spans="1:1023" x14ac:dyDescent="0.25">
      <c r="A32" s="16">
        <v>17</v>
      </c>
      <c r="B32" s="16">
        <v>1370343</v>
      </c>
      <c r="C32" s="16"/>
      <c r="D32" s="32"/>
      <c r="E32" s="36" t="s">
        <v>114</v>
      </c>
      <c r="F32" s="37">
        <v>1</v>
      </c>
      <c r="G32" s="38">
        <v>63.25</v>
      </c>
      <c r="H32" s="31">
        <f>Table1[[#This Row],[LENGTH (in.)]]*Table1[[#This Row],[QTY.]]</f>
        <v>63.25</v>
      </c>
      <c r="I32" s="17"/>
      <c r="J32" s="17"/>
      <c r="K32" s="17"/>
    </row>
    <row r="33" spans="1:11" x14ac:dyDescent="0.25">
      <c r="A33" s="16">
        <v>11</v>
      </c>
      <c r="B33" s="16">
        <v>1370337</v>
      </c>
      <c r="C33" s="16"/>
      <c r="D33" s="32"/>
      <c r="E33" s="36" t="s">
        <v>114</v>
      </c>
      <c r="F33" s="37">
        <v>2</v>
      </c>
      <c r="G33" s="38">
        <v>155.28299999999999</v>
      </c>
      <c r="H33" s="31">
        <f>Table1[[#This Row],[LENGTH (in.)]]*Table1[[#This Row],[QTY.]]</f>
        <v>310.56599999999997</v>
      </c>
      <c r="I33" s="17"/>
      <c r="J33" s="17"/>
      <c r="K33" s="17"/>
    </row>
    <row r="34" spans="1:11" x14ac:dyDescent="0.25">
      <c r="A34" s="16">
        <v>9</v>
      </c>
      <c r="B34" s="16">
        <v>1370307</v>
      </c>
      <c r="C34" s="16"/>
      <c r="D34" s="32"/>
      <c r="E34" s="36" t="s">
        <v>114</v>
      </c>
      <c r="F34" s="37">
        <v>9</v>
      </c>
      <c r="G34" s="38">
        <v>147.28</v>
      </c>
      <c r="H34" s="31">
        <f>Table1[[#This Row],[LENGTH (in.)]]*Table1[[#This Row],[QTY.]]</f>
        <v>1325.52</v>
      </c>
      <c r="I34" s="17"/>
      <c r="J34" s="17"/>
      <c r="K34" s="17"/>
    </row>
    <row r="35" spans="1:11" x14ac:dyDescent="0.25">
      <c r="A35" s="16">
        <v>10</v>
      </c>
      <c r="B35" s="16">
        <v>1370332</v>
      </c>
      <c r="C35" s="16"/>
      <c r="D35" s="32"/>
      <c r="E35" s="36" t="s">
        <v>114</v>
      </c>
      <c r="F35" s="37">
        <v>2</v>
      </c>
      <c r="G35" s="38">
        <v>147.28</v>
      </c>
      <c r="H35" s="31">
        <f>Table1[[#This Row],[LENGTH (in.)]]*Table1[[#This Row],[QTY.]]</f>
        <v>294.56</v>
      </c>
      <c r="I35" s="17"/>
      <c r="J35" s="17"/>
      <c r="K35" s="17"/>
    </row>
    <row r="36" spans="1:11" x14ac:dyDescent="0.25">
      <c r="A36" s="16">
        <v>12</v>
      </c>
      <c r="B36" s="16">
        <v>1371269</v>
      </c>
      <c r="C36" s="16"/>
      <c r="D36" s="32"/>
      <c r="E36" s="36" t="s">
        <v>114</v>
      </c>
      <c r="F36" s="37">
        <v>1</v>
      </c>
      <c r="G36" s="38">
        <v>101.75</v>
      </c>
      <c r="H36" s="31">
        <f>Table1[[#This Row],[LENGTH (in.)]]*Table1[[#This Row],[QTY.]]</f>
        <v>101.75</v>
      </c>
      <c r="I36" s="17"/>
      <c r="J36" s="17"/>
      <c r="K36" s="17"/>
    </row>
    <row r="37" spans="1:11" x14ac:dyDescent="0.25">
      <c r="A37" s="16">
        <v>8</v>
      </c>
      <c r="B37" s="16"/>
      <c r="C37" s="16"/>
      <c r="D37" s="32"/>
      <c r="E37" s="36" t="s">
        <v>115</v>
      </c>
      <c r="F37" s="37">
        <v>20</v>
      </c>
      <c r="G37" s="38">
        <v>8</v>
      </c>
      <c r="H37" s="31">
        <f>Table1[[#This Row],[LENGTH (in.)]]*Table1[[#This Row],[QTY.]]</f>
        <v>160</v>
      </c>
      <c r="I37" s="17"/>
      <c r="J37" s="17"/>
      <c r="K37" s="17"/>
    </row>
    <row r="38" spans="1:11" x14ac:dyDescent="0.25">
      <c r="A38" s="16">
        <v>7</v>
      </c>
      <c r="B38" s="16">
        <v>1369740</v>
      </c>
      <c r="C38" s="16"/>
      <c r="D38" s="32"/>
      <c r="E38" s="36" t="s">
        <v>114</v>
      </c>
      <c r="F38" s="37">
        <v>4</v>
      </c>
      <c r="G38" s="38">
        <v>60.875</v>
      </c>
      <c r="H38" s="31">
        <f>Table1[[#This Row],[LENGTH (in.)]]*Table1[[#This Row],[QTY.]]</f>
        <v>243.5</v>
      </c>
      <c r="I38" s="17"/>
      <c r="J38" s="17"/>
      <c r="K38" s="17"/>
    </row>
    <row r="39" spans="1:11" x14ac:dyDescent="0.25">
      <c r="A39" s="16">
        <v>6</v>
      </c>
      <c r="B39" s="16">
        <v>1369652</v>
      </c>
      <c r="C39" s="16"/>
      <c r="D39" s="32"/>
      <c r="E39" s="36" t="s">
        <v>90</v>
      </c>
      <c r="F39" s="37">
        <v>7</v>
      </c>
      <c r="G39" s="38">
        <v>8.85</v>
      </c>
      <c r="H39" s="31">
        <f>Table1[[#This Row],[LENGTH (in.)]]*Table1[[#This Row],[QTY.]]</f>
        <v>61.949999999999996</v>
      </c>
      <c r="I39" s="17"/>
      <c r="J39" s="17"/>
      <c r="K39" s="17"/>
    </row>
    <row r="40" spans="1:11" x14ac:dyDescent="0.25">
      <c r="A40" s="16">
        <v>3</v>
      </c>
      <c r="B40" s="16" t="s">
        <v>45</v>
      </c>
      <c r="C40" s="16"/>
      <c r="D40" s="32"/>
      <c r="E40" s="36" t="s">
        <v>79</v>
      </c>
      <c r="F40" s="37">
        <v>3</v>
      </c>
      <c r="G40" s="38">
        <v>146.75</v>
      </c>
      <c r="H40" s="31">
        <f>Table1[[#This Row],[LENGTH (in.)]]*Table1[[#This Row],[QTY.]]</f>
        <v>440.25</v>
      </c>
      <c r="I40" s="17"/>
      <c r="J40" s="17"/>
      <c r="K40" s="17"/>
    </row>
    <row r="41" spans="1:11" x14ac:dyDescent="0.25">
      <c r="A41" s="16">
        <v>5</v>
      </c>
      <c r="B41" s="16" t="s">
        <v>45</v>
      </c>
      <c r="C41" s="16"/>
      <c r="D41" s="32"/>
      <c r="E41" s="36" t="s">
        <v>79</v>
      </c>
      <c r="F41" s="37">
        <v>2</v>
      </c>
      <c r="G41" s="38">
        <v>120</v>
      </c>
      <c r="H41" s="31">
        <f>Table1[[#This Row],[LENGTH (in.)]]*Table1[[#This Row],[QTY.]]</f>
        <v>240</v>
      </c>
      <c r="I41" s="17"/>
      <c r="J41" s="17"/>
      <c r="K41" s="17"/>
    </row>
    <row r="42" spans="1:11" x14ac:dyDescent="0.25">
      <c r="A42" s="16">
        <v>4</v>
      </c>
      <c r="B42" s="16" t="s">
        <v>45</v>
      </c>
      <c r="C42" s="16"/>
      <c r="D42" s="32"/>
      <c r="E42" s="36" t="s">
        <v>79</v>
      </c>
      <c r="F42" s="37">
        <v>2</v>
      </c>
      <c r="G42" s="38">
        <v>53</v>
      </c>
      <c r="H42" s="31">
        <f>Table1[[#This Row],[LENGTH (in.)]]*Table1[[#This Row],[QTY.]]</f>
        <v>106</v>
      </c>
      <c r="I42" s="17"/>
      <c r="J42" s="17"/>
      <c r="K42" s="17"/>
    </row>
    <row r="43" spans="1:11" x14ac:dyDescent="0.25">
      <c r="A43" s="16"/>
      <c r="B43" s="16" t="s">
        <v>116</v>
      </c>
      <c r="C43" s="16"/>
      <c r="D43" s="32"/>
      <c r="E43" s="36" t="s">
        <v>63</v>
      </c>
      <c r="F43" s="37">
        <v>2</v>
      </c>
      <c r="G43" s="38">
        <v>208</v>
      </c>
      <c r="H43" s="31">
        <f>Table1[[#This Row],[LENGTH (in.)]]*Table1[[#This Row],[QTY.]]</f>
        <v>416</v>
      </c>
      <c r="I43" s="17"/>
      <c r="J43" s="17"/>
      <c r="K43" s="17"/>
    </row>
    <row r="44" spans="1:11" x14ac:dyDescent="0.25">
      <c r="A44" s="16">
        <v>2</v>
      </c>
      <c r="B44" s="16"/>
      <c r="C44" s="16"/>
      <c r="D44" s="32"/>
      <c r="E44" s="36" t="s">
        <v>63</v>
      </c>
      <c r="F44" s="37">
        <v>1</v>
      </c>
      <c r="G44" s="38">
        <v>147.5</v>
      </c>
      <c r="H44" s="31">
        <f>Table1[[#This Row],[LENGTH (in.)]]*Table1[[#This Row],[QTY.]]</f>
        <v>147.5</v>
      </c>
      <c r="I44" s="17"/>
      <c r="J44" s="17"/>
      <c r="K44" s="17"/>
    </row>
    <row r="45" spans="1:11" x14ac:dyDescent="0.25">
      <c r="A45" s="16"/>
      <c r="B45" s="16" t="s">
        <v>116</v>
      </c>
      <c r="C45" s="16"/>
      <c r="D45" s="32"/>
      <c r="E45" s="36" t="s">
        <v>63</v>
      </c>
      <c r="F45" s="37">
        <v>2</v>
      </c>
      <c r="G45" s="38">
        <v>100</v>
      </c>
      <c r="H45" s="31">
        <f>Table1[[#This Row],[LENGTH (in.)]]*Table1[[#This Row],[QTY.]]</f>
        <v>200</v>
      </c>
      <c r="I45" s="17"/>
      <c r="J45" s="17"/>
      <c r="K45" s="17"/>
    </row>
    <row r="46" spans="1:11" x14ac:dyDescent="0.25">
      <c r="A46" s="16">
        <v>1</v>
      </c>
      <c r="B46" s="16">
        <v>1311415</v>
      </c>
      <c r="C46" s="16"/>
      <c r="D46" s="32"/>
      <c r="E46" s="36" t="s">
        <v>63</v>
      </c>
      <c r="F46" s="37">
        <v>4</v>
      </c>
      <c r="G46" s="38">
        <v>5</v>
      </c>
      <c r="H46" s="31">
        <f>Table1[[#This Row],[LENGTH (in.)]]*Table1[[#This Row],[QTY.]]</f>
        <v>20</v>
      </c>
      <c r="I46" s="17"/>
      <c r="J46" s="17"/>
      <c r="K46" s="17"/>
    </row>
    <row r="47" spans="1:11" x14ac:dyDescent="0.25">
      <c r="A47" s="16">
        <v>1</v>
      </c>
      <c r="B47" s="16">
        <v>1289930</v>
      </c>
      <c r="C47" s="16"/>
      <c r="D47" s="32"/>
      <c r="E47" s="41" t="s">
        <v>109</v>
      </c>
      <c r="F47" s="42">
        <v>2</v>
      </c>
      <c r="G47" s="43">
        <v>136.625</v>
      </c>
      <c r="H47" s="31">
        <f>Table1[[#This Row],[LENGTH (in.)]]*Table1[[#This Row],[QTY.]]</f>
        <v>273.25</v>
      </c>
      <c r="I47" s="17"/>
      <c r="J47" s="17"/>
      <c r="K47" s="17"/>
    </row>
    <row r="48" spans="1:11" x14ac:dyDescent="0.25">
      <c r="A48" s="16">
        <v>5</v>
      </c>
      <c r="B48" s="16">
        <v>1289931</v>
      </c>
      <c r="C48" s="16"/>
      <c r="D48" s="32"/>
      <c r="E48" s="41" t="s">
        <v>109</v>
      </c>
      <c r="F48" s="42">
        <v>2</v>
      </c>
      <c r="G48" s="43">
        <v>128.75</v>
      </c>
      <c r="H48" s="31">
        <f>Table1[[#This Row],[LENGTH (in.)]]*Table1[[#This Row],[QTY.]]</f>
        <v>257.5</v>
      </c>
      <c r="I48" s="17"/>
      <c r="J48" s="17"/>
      <c r="K48" s="17"/>
    </row>
    <row r="49" spans="1:11" x14ac:dyDescent="0.25">
      <c r="A49" s="16">
        <v>6</v>
      </c>
      <c r="B49" s="16">
        <v>1289932</v>
      </c>
      <c r="C49" s="16"/>
      <c r="D49" s="32"/>
      <c r="E49" s="41" t="s">
        <v>109</v>
      </c>
      <c r="F49" s="42">
        <v>2</v>
      </c>
      <c r="G49" s="43">
        <v>191.125</v>
      </c>
      <c r="H49" s="31">
        <f>Table1[[#This Row],[LENGTH (in.)]]*Table1[[#This Row],[QTY.]]</f>
        <v>382.25</v>
      </c>
      <c r="I49" s="17"/>
      <c r="J49" s="17"/>
      <c r="K49" s="17"/>
    </row>
    <row r="50" spans="1:11" x14ac:dyDescent="0.25">
      <c r="A50" s="16">
        <v>7</v>
      </c>
      <c r="B50" s="16">
        <v>1289934</v>
      </c>
      <c r="C50" s="16"/>
      <c r="D50" s="32"/>
      <c r="E50" s="41" t="s">
        <v>95</v>
      </c>
      <c r="F50" s="42">
        <v>2</v>
      </c>
      <c r="G50" s="43">
        <v>403.5</v>
      </c>
      <c r="H50" s="31">
        <f>Table1[[#This Row],[LENGTH (in.)]]*Table1[[#This Row],[QTY.]]</f>
        <v>807</v>
      </c>
      <c r="I50" s="17"/>
      <c r="J50" s="17"/>
      <c r="K50" s="17"/>
    </row>
    <row r="51" spans="1:11" x14ac:dyDescent="0.25">
      <c r="A51" s="16">
        <v>8</v>
      </c>
      <c r="B51" s="16">
        <v>1289955</v>
      </c>
      <c r="C51" s="16"/>
      <c r="D51" s="32"/>
      <c r="E51" s="41" t="s">
        <v>95</v>
      </c>
      <c r="F51" s="42">
        <v>3</v>
      </c>
      <c r="G51" s="43">
        <v>141.375</v>
      </c>
      <c r="H51" s="31">
        <f>Table1[[#This Row],[LENGTH (in.)]]*Table1[[#This Row],[QTY.]]</f>
        <v>424.125</v>
      </c>
      <c r="I51" s="17"/>
      <c r="J51" s="17"/>
      <c r="K51" s="17"/>
    </row>
    <row r="52" spans="1:11" x14ac:dyDescent="0.25">
      <c r="A52" s="16">
        <v>9</v>
      </c>
      <c r="B52" s="16">
        <v>1289956</v>
      </c>
      <c r="C52" s="16"/>
      <c r="D52" s="32"/>
      <c r="E52" s="41" t="s">
        <v>95</v>
      </c>
      <c r="F52" s="42">
        <v>1</v>
      </c>
      <c r="G52" s="43">
        <v>31</v>
      </c>
      <c r="H52" s="31">
        <f>Table1[[#This Row],[LENGTH (in.)]]*Table1[[#This Row],[QTY.]]</f>
        <v>31</v>
      </c>
      <c r="I52" s="17"/>
      <c r="J52" s="17"/>
      <c r="K52" s="17"/>
    </row>
    <row r="53" spans="1:11" x14ac:dyDescent="0.25">
      <c r="A53" s="16">
        <v>10</v>
      </c>
      <c r="B53" s="16">
        <v>1290112</v>
      </c>
      <c r="C53" s="16"/>
      <c r="D53" s="32"/>
      <c r="E53" s="41" t="s">
        <v>95</v>
      </c>
      <c r="F53" s="42">
        <v>1</v>
      </c>
      <c r="G53" s="43">
        <v>133.375</v>
      </c>
      <c r="H53" s="31">
        <f>Table1[[#This Row],[LENGTH (in.)]]*Table1[[#This Row],[QTY.]]</f>
        <v>133.375</v>
      </c>
      <c r="I53" s="17"/>
      <c r="J53" s="17"/>
      <c r="K53" s="17"/>
    </row>
    <row r="54" spans="1:11" x14ac:dyDescent="0.25">
      <c r="A54" s="16">
        <v>11</v>
      </c>
      <c r="B54" s="16">
        <v>1289930</v>
      </c>
      <c r="C54" s="16"/>
      <c r="D54" s="32"/>
      <c r="E54" s="41" t="s">
        <v>109</v>
      </c>
      <c r="F54" s="42">
        <v>2</v>
      </c>
      <c r="G54" s="43">
        <v>136.625</v>
      </c>
      <c r="H54" s="31">
        <f>Table1[[#This Row],[LENGTH (in.)]]*Table1[[#This Row],[QTY.]]</f>
        <v>273.25</v>
      </c>
      <c r="I54" s="17"/>
      <c r="J54" s="17"/>
      <c r="K54" s="17"/>
    </row>
    <row r="55" spans="1:11" x14ac:dyDescent="0.25">
      <c r="A55" s="16">
        <v>12</v>
      </c>
      <c r="B55" s="16">
        <v>1289931</v>
      </c>
      <c r="C55" s="16"/>
      <c r="D55" s="32"/>
      <c r="E55" s="41" t="s">
        <v>109</v>
      </c>
      <c r="F55" s="42">
        <v>2</v>
      </c>
      <c r="G55" s="43">
        <v>128.75</v>
      </c>
      <c r="H55" s="31">
        <f>Table1[[#This Row],[LENGTH (in.)]]*Table1[[#This Row],[QTY.]]</f>
        <v>257.5</v>
      </c>
      <c r="I55" s="17"/>
      <c r="J55" s="17"/>
      <c r="K55" s="17"/>
    </row>
    <row r="56" spans="1:11" x14ac:dyDescent="0.25">
      <c r="A56" s="16">
        <v>13</v>
      </c>
      <c r="B56" s="16">
        <v>1289932</v>
      </c>
      <c r="C56" s="16"/>
      <c r="D56" s="32"/>
      <c r="E56" s="41" t="s">
        <v>109</v>
      </c>
      <c r="F56" s="42">
        <v>2</v>
      </c>
      <c r="G56" s="43">
        <v>191.125</v>
      </c>
      <c r="H56" s="31">
        <f>Table1[[#This Row],[LENGTH (in.)]]*Table1[[#This Row],[QTY.]]</f>
        <v>382.25</v>
      </c>
      <c r="I56" s="17"/>
      <c r="J56" s="17"/>
      <c r="K56" s="17"/>
    </row>
    <row r="57" spans="1:11" x14ac:dyDescent="0.25">
      <c r="A57" s="16">
        <v>14</v>
      </c>
      <c r="B57" s="16">
        <v>1289959</v>
      </c>
      <c r="C57" s="16"/>
      <c r="D57" s="32"/>
      <c r="E57" s="41" t="s">
        <v>95</v>
      </c>
      <c r="F57" s="42">
        <v>2</v>
      </c>
      <c r="G57" s="43">
        <v>144.125</v>
      </c>
      <c r="H57" s="31">
        <f>Table1[[#This Row],[LENGTH (in.)]]*Table1[[#This Row],[QTY.]]</f>
        <v>288.25</v>
      </c>
      <c r="I57" s="17"/>
      <c r="J57" s="17"/>
      <c r="K57" s="17"/>
    </row>
    <row r="58" spans="1:11" x14ac:dyDescent="0.25">
      <c r="A58" s="16">
        <v>15</v>
      </c>
      <c r="B58" s="16">
        <v>1289960</v>
      </c>
      <c r="C58" s="16"/>
      <c r="D58" s="32"/>
      <c r="E58" s="41" t="s">
        <v>95</v>
      </c>
      <c r="F58" s="42">
        <v>2</v>
      </c>
      <c r="G58" s="43">
        <v>31</v>
      </c>
      <c r="H58" s="31">
        <f>Table1[[#This Row],[LENGTH (in.)]]*Table1[[#This Row],[QTY.]]</f>
        <v>62</v>
      </c>
      <c r="I58" s="17"/>
      <c r="J58" s="17"/>
      <c r="K58" s="17"/>
    </row>
    <row r="59" spans="1:11" x14ac:dyDescent="0.25">
      <c r="A59" s="16">
        <v>16</v>
      </c>
      <c r="B59" s="16">
        <v>1061955</v>
      </c>
      <c r="C59" s="16"/>
      <c r="D59" s="32"/>
      <c r="E59" s="41" t="s">
        <v>92</v>
      </c>
      <c r="F59" s="42">
        <v>1</v>
      </c>
      <c r="G59" s="43">
        <v>191.25</v>
      </c>
      <c r="H59" s="31">
        <f>Table1[[#This Row],[LENGTH (in.)]]*Table1[[#This Row],[QTY.]]</f>
        <v>191.25</v>
      </c>
      <c r="I59" s="17"/>
      <c r="J59" s="17"/>
      <c r="K59" s="17"/>
    </row>
    <row r="60" spans="1:11" x14ac:dyDescent="0.25">
      <c r="A60" s="16">
        <v>18</v>
      </c>
      <c r="B60" s="16">
        <v>1061956</v>
      </c>
      <c r="C60" s="16"/>
      <c r="D60" s="32"/>
      <c r="E60" s="41" t="s">
        <v>92</v>
      </c>
      <c r="F60" s="42">
        <v>1</v>
      </c>
      <c r="G60" s="43">
        <v>130.625</v>
      </c>
      <c r="H60" s="31">
        <f>Table1[[#This Row],[LENGTH (in.)]]*Table1[[#This Row],[QTY.]]</f>
        <v>130.625</v>
      </c>
      <c r="I60" s="17"/>
      <c r="J60" s="17"/>
      <c r="K60" s="17"/>
    </row>
    <row r="61" spans="1:11" x14ac:dyDescent="0.25">
      <c r="A61" s="16">
        <v>19</v>
      </c>
      <c r="B61" s="16">
        <v>1061958</v>
      </c>
      <c r="C61" s="16"/>
      <c r="D61" s="32"/>
      <c r="E61" s="41" t="s">
        <v>92</v>
      </c>
      <c r="F61" s="42">
        <v>1</v>
      </c>
      <c r="G61" s="43">
        <v>138.625</v>
      </c>
      <c r="H61" s="31">
        <f>Table1[[#This Row],[LENGTH (in.)]]*Table1[[#This Row],[QTY.]]</f>
        <v>138.625</v>
      </c>
      <c r="I61" s="17"/>
      <c r="J61" s="17"/>
      <c r="K61" s="17"/>
    </row>
    <row r="62" spans="1:11" x14ac:dyDescent="0.25">
      <c r="A62" s="16">
        <v>20</v>
      </c>
      <c r="B62" s="16">
        <v>1289930</v>
      </c>
      <c r="C62" s="16"/>
      <c r="D62" s="32"/>
      <c r="E62" s="41" t="s">
        <v>109</v>
      </c>
      <c r="F62" s="42">
        <v>1</v>
      </c>
      <c r="G62" s="43">
        <v>136.625</v>
      </c>
      <c r="H62" s="31">
        <f>Table1[[#This Row],[LENGTH (in.)]]*Table1[[#This Row],[QTY.]]</f>
        <v>136.625</v>
      </c>
      <c r="I62" s="17"/>
      <c r="J62" s="17"/>
      <c r="K62" s="17"/>
    </row>
    <row r="63" spans="1:11" x14ac:dyDescent="0.25">
      <c r="A63" s="16">
        <v>21</v>
      </c>
      <c r="B63" s="16">
        <v>1289931</v>
      </c>
      <c r="C63" s="16"/>
      <c r="D63" s="32"/>
      <c r="E63" s="41" t="s">
        <v>109</v>
      </c>
      <c r="F63" s="42">
        <v>1</v>
      </c>
      <c r="G63" s="43">
        <v>128.75</v>
      </c>
      <c r="H63" s="31">
        <f>Table1[[#This Row],[LENGTH (in.)]]*Table1[[#This Row],[QTY.]]</f>
        <v>128.75</v>
      </c>
      <c r="I63" s="17"/>
      <c r="J63" s="17"/>
      <c r="K63" s="17"/>
    </row>
    <row r="64" spans="1:11" x14ac:dyDescent="0.25">
      <c r="A64" s="16">
        <v>22</v>
      </c>
      <c r="B64" s="16">
        <v>1289932</v>
      </c>
      <c r="C64" s="16"/>
      <c r="D64" s="32"/>
      <c r="E64" s="41" t="s">
        <v>109</v>
      </c>
      <c r="F64" s="42">
        <v>1</v>
      </c>
      <c r="G64" s="43">
        <v>191.125</v>
      </c>
      <c r="H64" s="31">
        <f>Table1[[#This Row],[LENGTH (in.)]]*Table1[[#This Row],[QTY.]]</f>
        <v>191.125</v>
      </c>
      <c r="I64" s="17"/>
      <c r="J64" s="17"/>
      <c r="K64" s="17"/>
    </row>
    <row r="65" spans="1:11" x14ac:dyDescent="0.25">
      <c r="A65" s="16">
        <v>23</v>
      </c>
      <c r="B65" s="16">
        <v>1289935</v>
      </c>
      <c r="C65" s="16"/>
      <c r="D65" s="32"/>
      <c r="E65" s="41" t="s">
        <v>95</v>
      </c>
      <c r="F65" s="42">
        <v>2</v>
      </c>
      <c r="G65" s="43">
        <v>412.625</v>
      </c>
      <c r="H65" s="31">
        <f>Table1[[#This Row],[LENGTH (in.)]]*Table1[[#This Row],[QTY.]]</f>
        <v>825.25</v>
      </c>
      <c r="I65" s="17"/>
      <c r="J65" s="17"/>
      <c r="K65" s="17"/>
    </row>
    <row r="66" spans="1:11" x14ac:dyDescent="0.25">
      <c r="A66" s="16">
        <v>25</v>
      </c>
      <c r="B66" s="16">
        <v>1289957</v>
      </c>
      <c r="C66" s="16"/>
      <c r="D66" s="32"/>
      <c r="E66" s="41" t="s">
        <v>95</v>
      </c>
      <c r="F66" s="42">
        <v>4</v>
      </c>
      <c r="G66" s="43">
        <v>141.375</v>
      </c>
      <c r="H66" s="31">
        <f>Table1[[#This Row],[LENGTH (in.)]]*Table1[[#This Row],[QTY.]]</f>
        <v>565.5</v>
      </c>
      <c r="I66" s="17"/>
      <c r="J66" s="17"/>
      <c r="K66" s="17"/>
    </row>
    <row r="67" spans="1:11" x14ac:dyDescent="0.25">
      <c r="A67" s="16">
        <v>27</v>
      </c>
      <c r="B67" s="16">
        <v>1289958</v>
      </c>
      <c r="C67" s="16"/>
      <c r="D67" s="32"/>
      <c r="E67" s="41" t="s">
        <v>95</v>
      </c>
      <c r="F67" s="42">
        <v>2</v>
      </c>
      <c r="G67" s="43">
        <v>31</v>
      </c>
      <c r="H67" s="31">
        <f>Table1[[#This Row],[LENGTH (in.)]]*Table1[[#This Row],[QTY.]]</f>
        <v>62</v>
      </c>
      <c r="I67" s="17"/>
      <c r="J67" s="17"/>
      <c r="K67" s="17"/>
    </row>
    <row r="68" spans="1:11" x14ac:dyDescent="0.25">
      <c r="A68" s="44">
        <v>29</v>
      </c>
      <c r="B68" s="44">
        <v>1290113</v>
      </c>
      <c r="C68" s="44"/>
      <c r="D68" s="45"/>
      <c r="E68" s="46" t="s">
        <v>95</v>
      </c>
      <c r="F68" s="47">
        <v>1</v>
      </c>
      <c r="G68" s="48">
        <v>133.375</v>
      </c>
      <c r="H68" s="49">
        <f>Table1[[#This Row],[LENGTH (in.)]]*Table1[[#This Row],[QTY.]]</f>
        <v>133.375</v>
      </c>
      <c r="I68" s="50"/>
      <c r="J68" s="50"/>
      <c r="K68" s="50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J32"/>
  <sheetViews>
    <sheetView zoomScale="115" zoomScaleNormal="115" workbookViewId="0">
      <selection activeCell="H8" sqref="H8"/>
    </sheetView>
  </sheetViews>
  <sheetFormatPr defaultColWidth="8.85546875" defaultRowHeight="11.25" x14ac:dyDescent="0.2"/>
  <cols>
    <col min="1" max="1" width="38.42578125" style="18" bestFit="1" customWidth="1"/>
    <col min="2" max="2" width="10.7109375" style="18" bestFit="1" customWidth="1"/>
    <col min="3" max="3" width="9.7109375" style="21" bestFit="1" customWidth="1"/>
    <col min="4" max="4" width="6.42578125" style="18" bestFit="1" customWidth="1"/>
    <col min="5" max="5" width="4.42578125" style="18" bestFit="1" customWidth="1"/>
    <col min="6" max="6" width="47.85546875" style="18" bestFit="1" customWidth="1"/>
    <col min="7" max="7" width="10.5703125" style="18" bestFit="1" customWidth="1"/>
    <col min="8" max="8" width="54.7109375" style="18" bestFit="1" customWidth="1"/>
    <col min="9" max="16384" width="8.85546875" style="18"/>
  </cols>
  <sheetData>
    <row r="1" spans="1:8" x14ac:dyDescent="0.2">
      <c r="A1" s="18" t="s">
        <v>68</v>
      </c>
      <c r="B1" s="18" t="s">
        <v>69</v>
      </c>
      <c r="C1" s="21" t="s">
        <v>70</v>
      </c>
      <c r="D1" s="18" t="s">
        <v>71</v>
      </c>
      <c r="E1" s="18" t="s">
        <v>72</v>
      </c>
      <c r="F1" s="18" t="s">
        <v>73</v>
      </c>
    </row>
    <row r="2" spans="1:8" x14ac:dyDescent="0.2">
      <c r="A2" s="18" t="s">
        <v>60</v>
      </c>
      <c r="B2" s="18">
        <f>D2*12</f>
        <v>480</v>
      </c>
      <c r="C2" s="21" t="s">
        <v>16</v>
      </c>
      <c r="D2" s="18">
        <v>40</v>
      </c>
      <c r="E2" s="18" t="s">
        <v>18</v>
      </c>
      <c r="F2" s="18" t="s">
        <v>17</v>
      </c>
    </row>
    <row r="3" spans="1:8" x14ac:dyDescent="0.2">
      <c r="A3" s="18" t="s">
        <v>83</v>
      </c>
      <c r="B3" s="18">
        <f t="shared" ref="B3:B25" si="0">D3*12</f>
        <v>600</v>
      </c>
      <c r="C3" s="21" t="s">
        <v>19</v>
      </c>
      <c r="D3" s="18">
        <v>50</v>
      </c>
      <c r="E3" s="18" t="s">
        <v>18</v>
      </c>
      <c r="F3" s="18" t="s">
        <v>20</v>
      </c>
    </row>
    <row r="4" spans="1:8" x14ac:dyDescent="0.2">
      <c r="A4" s="18" t="s">
        <v>84</v>
      </c>
      <c r="B4" s="18">
        <f t="shared" si="0"/>
        <v>480</v>
      </c>
      <c r="C4" s="21" t="s">
        <v>21</v>
      </c>
      <c r="D4" s="18">
        <v>40</v>
      </c>
      <c r="E4" s="18" t="s">
        <v>18</v>
      </c>
      <c r="F4" s="18" t="s">
        <v>22</v>
      </c>
    </row>
    <row r="5" spans="1:8" x14ac:dyDescent="0.2">
      <c r="A5" s="18" t="s">
        <v>82</v>
      </c>
      <c r="B5" s="18">
        <f t="shared" si="0"/>
        <v>600</v>
      </c>
      <c r="C5" s="21" t="s">
        <v>23</v>
      </c>
      <c r="D5" s="18">
        <v>50</v>
      </c>
      <c r="E5" s="18" t="s">
        <v>18</v>
      </c>
      <c r="F5" s="18" t="s">
        <v>24</v>
      </c>
    </row>
    <row r="6" spans="1:8" x14ac:dyDescent="0.2">
      <c r="A6" s="18" t="s">
        <v>81</v>
      </c>
      <c r="B6" s="18">
        <f t="shared" si="0"/>
        <v>720</v>
      </c>
      <c r="C6" s="21" t="s">
        <v>14</v>
      </c>
      <c r="D6" s="18">
        <v>60</v>
      </c>
      <c r="E6" s="18" t="s">
        <v>18</v>
      </c>
      <c r="F6" s="18" t="s">
        <v>25</v>
      </c>
    </row>
    <row r="7" spans="1:8" x14ac:dyDescent="0.2">
      <c r="A7" s="18" t="s">
        <v>61</v>
      </c>
      <c r="B7" s="18">
        <f t="shared" si="0"/>
        <v>720</v>
      </c>
      <c r="C7" s="21" t="s">
        <v>26</v>
      </c>
      <c r="D7" s="18">
        <v>60</v>
      </c>
      <c r="E7" s="18" t="s">
        <v>18</v>
      </c>
      <c r="F7" s="18" t="s">
        <v>27</v>
      </c>
    </row>
    <row r="8" spans="1:8" x14ac:dyDescent="0.2">
      <c r="A8" s="18" t="s">
        <v>62</v>
      </c>
      <c r="B8" s="18">
        <f t="shared" si="0"/>
        <v>480</v>
      </c>
      <c r="C8" s="21" t="s">
        <v>28</v>
      </c>
      <c r="D8" s="18">
        <v>40</v>
      </c>
      <c r="E8" s="18" t="s">
        <v>18</v>
      </c>
      <c r="F8" s="18" t="s">
        <v>29</v>
      </c>
    </row>
    <row r="9" spans="1:8" x14ac:dyDescent="0.2">
      <c r="A9" s="18" t="s">
        <v>85</v>
      </c>
      <c r="B9" s="18">
        <f t="shared" si="0"/>
        <v>480</v>
      </c>
      <c r="C9" s="21" t="s">
        <v>30</v>
      </c>
      <c r="D9" s="18">
        <v>40</v>
      </c>
      <c r="E9" s="18" t="s">
        <v>18</v>
      </c>
      <c r="F9" s="18" t="s">
        <v>31</v>
      </c>
    </row>
    <row r="10" spans="1:8" x14ac:dyDescent="0.2">
      <c r="A10" s="18" t="s">
        <v>63</v>
      </c>
      <c r="B10" s="18">
        <f t="shared" si="0"/>
        <v>480</v>
      </c>
      <c r="C10" s="21" t="s">
        <v>32</v>
      </c>
      <c r="D10" s="18">
        <v>40</v>
      </c>
      <c r="E10" s="18" t="s">
        <v>18</v>
      </c>
      <c r="F10" s="18" t="s">
        <v>33</v>
      </c>
    </row>
    <row r="11" spans="1:8" x14ac:dyDescent="0.2">
      <c r="A11" s="18" t="s">
        <v>64</v>
      </c>
      <c r="B11" s="18">
        <f t="shared" si="0"/>
        <v>600</v>
      </c>
      <c r="C11" s="21" t="s">
        <v>15</v>
      </c>
      <c r="D11" s="18">
        <v>50</v>
      </c>
      <c r="E11" s="18" t="s">
        <v>18</v>
      </c>
      <c r="F11" s="18" t="s">
        <v>34</v>
      </c>
    </row>
    <row r="12" spans="1:8" x14ac:dyDescent="0.2">
      <c r="A12" s="18" t="s">
        <v>80</v>
      </c>
      <c r="B12" s="18">
        <f t="shared" si="0"/>
        <v>480</v>
      </c>
      <c r="C12" s="21" t="s">
        <v>35</v>
      </c>
      <c r="D12" s="18">
        <v>40</v>
      </c>
      <c r="E12" s="18" t="s">
        <v>18</v>
      </c>
      <c r="F12" s="18" t="s">
        <v>36</v>
      </c>
    </row>
    <row r="13" spans="1:8" x14ac:dyDescent="0.2">
      <c r="A13" s="18" t="s">
        <v>65</v>
      </c>
      <c r="B13" s="18">
        <f t="shared" si="0"/>
        <v>480</v>
      </c>
      <c r="C13" s="21" t="s">
        <v>37</v>
      </c>
      <c r="D13" s="18">
        <v>40</v>
      </c>
      <c r="E13" s="18" t="s">
        <v>18</v>
      </c>
      <c r="F13" s="18" t="s">
        <v>38</v>
      </c>
    </row>
    <row r="14" spans="1:8" x14ac:dyDescent="0.2">
      <c r="A14" s="18" t="s">
        <v>66</v>
      </c>
      <c r="B14" s="18">
        <f t="shared" si="0"/>
        <v>480</v>
      </c>
      <c r="C14" s="21" t="s">
        <v>39</v>
      </c>
      <c r="D14" s="18">
        <v>40</v>
      </c>
      <c r="E14" s="18" t="s">
        <v>18</v>
      </c>
      <c r="F14" s="18" t="s">
        <v>40</v>
      </c>
    </row>
    <row r="15" spans="1:8" x14ac:dyDescent="0.2">
      <c r="A15" s="18" t="s">
        <v>88</v>
      </c>
      <c r="B15" s="18">
        <f t="shared" si="0"/>
        <v>720</v>
      </c>
      <c r="C15" s="21" t="s">
        <v>41</v>
      </c>
      <c r="D15" s="18">
        <v>60</v>
      </c>
      <c r="E15" s="18" t="s">
        <v>18</v>
      </c>
      <c r="F15" s="18" t="s">
        <v>42</v>
      </c>
      <c r="H15" s="21"/>
    </row>
    <row r="16" spans="1:8" x14ac:dyDescent="0.2">
      <c r="A16" s="18" t="s">
        <v>67</v>
      </c>
      <c r="B16" s="18">
        <f t="shared" si="0"/>
        <v>720</v>
      </c>
      <c r="C16" s="21" t="s">
        <v>43</v>
      </c>
      <c r="D16" s="18">
        <v>60</v>
      </c>
      <c r="E16" s="18" t="s">
        <v>18</v>
      </c>
      <c r="F16" s="18" t="s">
        <v>44</v>
      </c>
    </row>
    <row r="17" spans="1:10" x14ac:dyDescent="0.2">
      <c r="A17" s="21" t="s">
        <v>79</v>
      </c>
      <c r="B17" s="18">
        <f t="shared" si="0"/>
        <v>240</v>
      </c>
      <c r="C17" s="21" t="s">
        <v>45</v>
      </c>
      <c r="D17" s="18">
        <v>20</v>
      </c>
      <c r="E17" s="18" t="s">
        <v>18</v>
      </c>
      <c r="F17" s="18" t="s">
        <v>46</v>
      </c>
    </row>
    <row r="18" spans="1:10" x14ac:dyDescent="0.2">
      <c r="A18" s="21" t="s">
        <v>78</v>
      </c>
      <c r="B18" s="18">
        <f t="shared" si="0"/>
        <v>240</v>
      </c>
      <c r="C18" s="21" t="s">
        <v>47</v>
      </c>
      <c r="D18" s="18">
        <v>20</v>
      </c>
      <c r="E18" s="18" t="s">
        <v>18</v>
      </c>
      <c r="F18" s="18" t="s">
        <v>48</v>
      </c>
    </row>
    <row r="19" spans="1:10" x14ac:dyDescent="0.2">
      <c r="A19" s="21" t="s">
        <v>95</v>
      </c>
      <c r="B19" s="18">
        <f t="shared" si="0"/>
        <v>576</v>
      </c>
      <c r="C19" s="21" t="s">
        <v>49</v>
      </c>
      <c r="D19" s="18">
        <v>48</v>
      </c>
      <c r="E19" s="18" t="s">
        <v>18</v>
      </c>
      <c r="F19" s="18" t="s">
        <v>50</v>
      </c>
    </row>
    <row r="20" spans="1:10" x14ac:dyDescent="0.2">
      <c r="A20" s="21" t="s">
        <v>90</v>
      </c>
      <c r="B20" s="18">
        <f t="shared" si="0"/>
        <v>480</v>
      </c>
      <c r="C20" s="21" t="s">
        <v>51</v>
      </c>
      <c r="D20" s="18">
        <v>40</v>
      </c>
      <c r="E20" s="18" t="s">
        <v>18</v>
      </c>
      <c r="F20" s="18" t="s">
        <v>52</v>
      </c>
    </row>
    <row r="21" spans="1:10" x14ac:dyDescent="0.2">
      <c r="A21" s="21" t="s">
        <v>92</v>
      </c>
      <c r="B21" s="18">
        <f t="shared" si="0"/>
        <v>480</v>
      </c>
      <c r="C21" s="21" t="s">
        <v>53</v>
      </c>
      <c r="D21" s="18">
        <v>40</v>
      </c>
      <c r="E21" s="18" t="s">
        <v>18</v>
      </c>
      <c r="F21" s="18" t="s">
        <v>54</v>
      </c>
    </row>
    <row r="22" spans="1:10" x14ac:dyDescent="0.2">
      <c r="A22" s="18" t="s">
        <v>91</v>
      </c>
      <c r="B22" s="21">
        <f t="shared" si="0"/>
        <v>576</v>
      </c>
      <c r="C22" s="21" t="s">
        <v>55</v>
      </c>
      <c r="D22" s="21">
        <v>48</v>
      </c>
      <c r="E22" s="18" t="s">
        <v>18</v>
      </c>
      <c r="F22" s="18" t="s">
        <v>56</v>
      </c>
      <c r="G22" s="22"/>
      <c r="H22" s="22"/>
      <c r="I22" s="22"/>
      <c r="J22" s="22"/>
    </row>
    <row r="23" spans="1:10" x14ac:dyDescent="0.2">
      <c r="A23" s="18" t="s">
        <v>109</v>
      </c>
      <c r="B23" s="21">
        <v>480</v>
      </c>
      <c r="C23" s="21" t="s">
        <v>110</v>
      </c>
      <c r="D23" s="21">
        <v>40</v>
      </c>
      <c r="G23" s="22"/>
      <c r="H23" s="22"/>
      <c r="I23" s="22"/>
      <c r="J23" s="22"/>
    </row>
    <row r="24" spans="1:10" x14ac:dyDescent="0.2">
      <c r="A24" s="18" t="s">
        <v>93</v>
      </c>
      <c r="B24" s="18">
        <f t="shared" si="0"/>
        <v>240</v>
      </c>
      <c r="C24" s="21" t="s">
        <v>57</v>
      </c>
      <c r="D24" s="18">
        <v>20</v>
      </c>
      <c r="E24" s="18" t="s">
        <v>18</v>
      </c>
      <c r="F24" s="18" t="s">
        <v>96</v>
      </c>
    </row>
    <row r="25" spans="1:10" x14ac:dyDescent="0.2">
      <c r="A25" s="18" t="s">
        <v>94</v>
      </c>
      <c r="B25" s="18">
        <f t="shared" si="0"/>
        <v>480</v>
      </c>
      <c r="C25" s="21" t="s">
        <v>58</v>
      </c>
      <c r="D25" s="18">
        <v>40</v>
      </c>
      <c r="E25" s="18" t="s">
        <v>18</v>
      </c>
      <c r="F25" s="18" t="s">
        <v>59</v>
      </c>
    </row>
    <row r="26" spans="1:10" x14ac:dyDescent="0.2">
      <c r="A26" s="18" t="s">
        <v>103</v>
      </c>
      <c r="B26" s="18">
        <f>D26*12</f>
        <v>240</v>
      </c>
      <c r="C26" s="21" t="s">
        <v>97</v>
      </c>
      <c r="D26" s="18">
        <v>20</v>
      </c>
      <c r="E26" s="18" t="s">
        <v>18</v>
      </c>
      <c r="F26" s="18" t="s">
        <v>98</v>
      </c>
    </row>
    <row r="27" spans="1:10" x14ac:dyDescent="0.2">
      <c r="A27" s="18" t="s">
        <v>104</v>
      </c>
      <c r="B27" s="18">
        <f t="shared" ref="B27:B29" si="1">D27*12</f>
        <v>240</v>
      </c>
      <c r="C27" s="21" t="s">
        <v>99</v>
      </c>
      <c r="D27" s="18">
        <v>20</v>
      </c>
      <c r="E27" s="18" t="s">
        <v>18</v>
      </c>
      <c r="F27" s="18" t="s">
        <v>100</v>
      </c>
    </row>
    <row r="28" spans="1:10" x14ac:dyDescent="0.2">
      <c r="A28" s="18" t="s">
        <v>105</v>
      </c>
      <c r="B28" s="18">
        <f t="shared" si="1"/>
        <v>240</v>
      </c>
      <c r="C28" s="21" t="s">
        <v>101</v>
      </c>
      <c r="D28" s="18">
        <v>20</v>
      </c>
      <c r="E28" s="18" t="s">
        <v>18</v>
      </c>
      <c r="F28" s="18" t="s">
        <v>102</v>
      </c>
    </row>
    <row r="29" spans="1:10" x14ac:dyDescent="0.2">
      <c r="A29" s="18" t="s">
        <v>107</v>
      </c>
      <c r="B29" s="18">
        <f t="shared" si="1"/>
        <v>240</v>
      </c>
      <c r="C29" s="18" t="s">
        <v>106</v>
      </c>
      <c r="D29" s="18">
        <v>20</v>
      </c>
      <c r="E29" s="18" t="s">
        <v>18</v>
      </c>
      <c r="F29" s="18" t="s">
        <v>108</v>
      </c>
    </row>
    <row r="30" spans="1:10" x14ac:dyDescent="0.2">
      <c r="A30" s="18" t="s">
        <v>112</v>
      </c>
      <c r="B30" s="18">
        <v>240</v>
      </c>
      <c r="C30" s="21" t="s">
        <v>111</v>
      </c>
      <c r="D30" s="18">
        <v>20</v>
      </c>
      <c r="E30" s="18" t="s">
        <v>18</v>
      </c>
      <c r="F30" s="18" t="s">
        <v>117</v>
      </c>
    </row>
    <row r="31" spans="1:10" x14ac:dyDescent="0.2">
      <c r="A31" s="18" t="s">
        <v>113</v>
      </c>
      <c r="B31" s="18">
        <v>480</v>
      </c>
      <c r="C31" s="21" t="s">
        <v>118</v>
      </c>
      <c r="D31" s="18">
        <v>40</v>
      </c>
      <c r="E31" s="18" t="s">
        <v>18</v>
      </c>
      <c r="F31" s="18" t="s">
        <v>119</v>
      </c>
    </row>
    <row r="32" spans="1:10" x14ac:dyDescent="0.2">
      <c r="A32" s="18" t="s">
        <v>115</v>
      </c>
      <c r="B32" s="18">
        <v>480</v>
      </c>
      <c r="C32" s="21" t="s">
        <v>110</v>
      </c>
      <c r="D32" s="18">
        <v>40</v>
      </c>
      <c r="E32" s="18" t="s">
        <v>18</v>
      </c>
      <c r="F32" s="18" t="s">
        <v>120</v>
      </c>
    </row>
  </sheetData>
  <phoneticPr fontId="6" type="noConversion"/>
  <conditionalFormatting sqref="C30:C1048576 C1:C18 C22:C28">
    <cfRule type="duplicateValues" dxfId="15" priority="4"/>
  </conditionalFormatting>
  <conditionalFormatting sqref="C19">
    <cfRule type="duplicateValues" dxfId="14" priority="2"/>
  </conditionalFormatting>
  <conditionalFormatting sqref="C20:C21">
    <cfRule type="duplicateValues" dxfId="1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94363-ED6A-4B6A-8C20-271757BC0AE2}">
  <sheetPr codeName="Sheet14"/>
  <dimension ref="A1:F14"/>
  <sheetViews>
    <sheetView workbookViewId="0"/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39" t="s">
        <v>121</v>
      </c>
      <c r="B1" s="39" t="s">
        <v>122</v>
      </c>
      <c r="C1" s="39" t="s">
        <v>123</v>
      </c>
      <c r="D1" s="39" t="s">
        <v>124</v>
      </c>
      <c r="E1" s="39" t="s">
        <v>125</v>
      </c>
      <c r="F1" s="39" t="s">
        <v>126</v>
      </c>
    </row>
    <row r="2" spans="1:6" x14ac:dyDescent="0.25">
      <c r="A2" t="s">
        <v>83</v>
      </c>
      <c r="B2" t="s">
        <v>19</v>
      </c>
      <c r="C2">
        <v>7</v>
      </c>
      <c r="D2">
        <v>600</v>
      </c>
      <c r="E2">
        <v>50</v>
      </c>
      <c r="F2">
        <v>350</v>
      </c>
    </row>
    <row r="3" spans="1:6" x14ac:dyDescent="0.25">
      <c r="A3" t="s">
        <v>60</v>
      </c>
      <c r="B3" t="s">
        <v>16</v>
      </c>
      <c r="C3">
        <v>14</v>
      </c>
      <c r="D3">
        <v>480</v>
      </c>
      <c r="E3">
        <v>40</v>
      </c>
      <c r="F3">
        <v>560</v>
      </c>
    </row>
    <row r="4" spans="1:6" x14ac:dyDescent="0.25">
      <c r="A4" t="s">
        <v>94</v>
      </c>
      <c r="B4" t="s">
        <v>58</v>
      </c>
      <c r="C4">
        <v>2</v>
      </c>
      <c r="D4">
        <v>480</v>
      </c>
      <c r="E4">
        <v>40</v>
      </c>
      <c r="F4">
        <v>80</v>
      </c>
    </row>
    <row r="5" spans="1:6" x14ac:dyDescent="0.25">
      <c r="A5" t="s">
        <v>112</v>
      </c>
      <c r="B5" t="s">
        <v>111</v>
      </c>
      <c r="C5">
        <v>3</v>
      </c>
      <c r="D5">
        <v>240</v>
      </c>
      <c r="E5">
        <v>20</v>
      </c>
      <c r="F5">
        <v>60</v>
      </c>
    </row>
    <row r="6" spans="1:6" x14ac:dyDescent="0.25">
      <c r="A6" t="s">
        <v>113</v>
      </c>
      <c r="B6" t="s">
        <v>118</v>
      </c>
      <c r="C6">
        <v>1</v>
      </c>
      <c r="D6">
        <v>480</v>
      </c>
      <c r="E6">
        <v>40</v>
      </c>
      <c r="F6">
        <v>40</v>
      </c>
    </row>
    <row r="7" spans="1:6" x14ac:dyDescent="0.25">
      <c r="A7" t="s">
        <v>91</v>
      </c>
      <c r="B7" t="s">
        <v>55</v>
      </c>
      <c r="C7">
        <v>8</v>
      </c>
      <c r="D7">
        <v>576</v>
      </c>
      <c r="E7">
        <v>48</v>
      </c>
      <c r="F7">
        <v>384</v>
      </c>
    </row>
    <row r="8" spans="1:6" x14ac:dyDescent="0.25">
      <c r="A8" t="s">
        <v>115</v>
      </c>
      <c r="B8" t="s">
        <v>110</v>
      </c>
      <c r="C8">
        <v>1</v>
      </c>
      <c r="D8">
        <v>480</v>
      </c>
      <c r="E8">
        <v>40</v>
      </c>
      <c r="F8">
        <v>40</v>
      </c>
    </row>
    <row r="9" spans="1:6" x14ac:dyDescent="0.25">
      <c r="A9" t="s">
        <v>90</v>
      </c>
      <c r="B9" t="s">
        <v>51</v>
      </c>
      <c r="C9">
        <v>1</v>
      </c>
      <c r="D9">
        <v>480</v>
      </c>
      <c r="E9">
        <v>40</v>
      </c>
      <c r="F9">
        <v>40</v>
      </c>
    </row>
    <row r="10" spans="1:6" x14ac:dyDescent="0.25">
      <c r="A10" t="s">
        <v>79</v>
      </c>
      <c r="B10" t="s">
        <v>45</v>
      </c>
      <c r="C10">
        <v>4</v>
      </c>
      <c r="D10">
        <v>240</v>
      </c>
      <c r="E10">
        <v>20</v>
      </c>
      <c r="F10">
        <v>80</v>
      </c>
    </row>
    <row r="11" spans="1:6" x14ac:dyDescent="0.25">
      <c r="A11" t="s">
        <v>63</v>
      </c>
      <c r="B11" t="s">
        <v>32</v>
      </c>
      <c r="C11">
        <v>2</v>
      </c>
      <c r="D11">
        <v>480</v>
      </c>
      <c r="E11">
        <v>40</v>
      </c>
      <c r="F11">
        <v>80</v>
      </c>
    </row>
    <row r="12" spans="1:6" x14ac:dyDescent="0.25">
      <c r="A12" t="s">
        <v>109</v>
      </c>
      <c r="B12" t="s">
        <v>110</v>
      </c>
      <c r="C12">
        <v>5</v>
      </c>
      <c r="D12">
        <v>480</v>
      </c>
      <c r="E12">
        <v>40</v>
      </c>
      <c r="F12">
        <v>200</v>
      </c>
    </row>
    <row r="13" spans="1:6" x14ac:dyDescent="0.25">
      <c r="A13" t="s">
        <v>95</v>
      </c>
      <c r="B13" t="s">
        <v>49</v>
      </c>
      <c r="C13">
        <v>6</v>
      </c>
      <c r="D13">
        <v>576</v>
      </c>
      <c r="E13">
        <v>48</v>
      </c>
      <c r="F13">
        <v>288</v>
      </c>
    </row>
    <row r="14" spans="1:6" x14ac:dyDescent="0.25">
      <c r="A14" t="s">
        <v>92</v>
      </c>
      <c r="B14" t="s">
        <v>53</v>
      </c>
      <c r="C14">
        <v>1</v>
      </c>
      <c r="D14">
        <v>480</v>
      </c>
      <c r="E14">
        <v>40</v>
      </c>
      <c r="F14">
        <v>40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F26BF-43F9-4766-93F7-9E117A7C2398}">
  <sheetPr codeName="Sheet16"/>
  <dimension ref="A1:AI59"/>
  <sheetViews>
    <sheetView tabSelected="1" workbookViewId="0">
      <selection activeCell="D11" sqref="D11"/>
    </sheetView>
  </sheetViews>
  <sheetFormatPr defaultRowHeight="15" x14ac:dyDescent="0.25"/>
  <cols>
    <col min="1" max="1" width="20.140625" bestFit="1" customWidth="1"/>
    <col min="2" max="2" width="15" bestFit="1" customWidth="1"/>
    <col min="3" max="3" width="17.85546875" bestFit="1" customWidth="1"/>
    <col min="4" max="12" width="13.7109375" bestFit="1" customWidth="1"/>
    <col min="13" max="33" width="14.7109375" bestFit="1" customWidth="1"/>
    <col min="34" max="34" width="17.7109375" bestFit="1" customWidth="1"/>
    <col min="35" max="35" width="13.85546875" bestFit="1" customWidth="1"/>
  </cols>
  <sheetData>
    <row r="1" spans="1:35" x14ac:dyDescent="0.25">
      <c r="A1" t="s">
        <v>121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t="s">
        <v>140</v>
      </c>
      <c r="P1" t="s">
        <v>141</v>
      </c>
      <c r="Q1" t="s">
        <v>142</v>
      </c>
      <c r="R1" t="s">
        <v>143</v>
      </c>
      <c r="S1" t="s">
        <v>144</v>
      </c>
      <c r="T1" t="s">
        <v>145</v>
      </c>
      <c r="U1" t="s">
        <v>146</v>
      </c>
      <c r="V1" t="s">
        <v>147</v>
      </c>
      <c r="W1" t="s">
        <v>148</v>
      </c>
      <c r="X1" t="s">
        <v>149</v>
      </c>
      <c r="Y1" t="s">
        <v>150</v>
      </c>
      <c r="Z1" t="s">
        <v>151</v>
      </c>
      <c r="AA1" t="s">
        <v>152</v>
      </c>
      <c r="AB1" t="s">
        <v>153</v>
      </c>
      <c r="AC1" t="s">
        <v>154</v>
      </c>
      <c r="AD1" t="s">
        <v>155</v>
      </c>
      <c r="AE1" t="s">
        <v>156</v>
      </c>
      <c r="AF1" t="s">
        <v>157</v>
      </c>
      <c r="AG1" t="s">
        <v>160</v>
      </c>
      <c r="AH1" t="s">
        <v>158</v>
      </c>
      <c r="AI1" t="s">
        <v>159</v>
      </c>
    </row>
    <row r="2" spans="1:35" x14ac:dyDescent="0.25">
      <c r="A2" t="s">
        <v>83</v>
      </c>
      <c r="B2" t="s">
        <v>19</v>
      </c>
      <c r="C2">
        <v>600</v>
      </c>
      <c r="D2">
        <v>116.5</v>
      </c>
      <c r="E2">
        <v>93.5</v>
      </c>
      <c r="F2">
        <v>93.5</v>
      </c>
      <c r="G2">
        <v>93.5</v>
      </c>
      <c r="H2">
        <v>93.5</v>
      </c>
      <c r="I2">
        <v>93.5</v>
      </c>
      <c r="AH2">
        <v>584</v>
      </c>
      <c r="AI2">
        <v>16</v>
      </c>
    </row>
    <row r="3" spans="1:35" x14ac:dyDescent="0.25">
      <c r="A3" t="s">
        <v>83</v>
      </c>
      <c r="B3" t="s">
        <v>19</v>
      </c>
      <c r="C3">
        <v>600</v>
      </c>
      <c r="D3">
        <v>116.5</v>
      </c>
      <c r="E3">
        <v>116.5</v>
      </c>
      <c r="F3">
        <v>116.5</v>
      </c>
      <c r="G3">
        <v>116.5</v>
      </c>
      <c r="H3">
        <v>116.5</v>
      </c>
      <c r="AH3">
        <v>582.5</v>
      </c>
      <c r="AI3">
        <v>17.5</v>
      </c>
    </row>
    <row r="4" spans="1:35" x14ac:dyDescent="0.25">
      <c r="A4" t="s">
        <v>83</v>
      </c>
      <c r="B4" t="s">
        <v>19</v>
      </c>
      <c r="C4">
        <v>600</v>
      </c>
      <c r="D4">
        <v>116.5</v>
      </c>
      <c r="E4">
        <v>116.5</v>
      </c>
      <c r="F4">
        <v>116.5</v>
      </c>
      <c r="G4">
        <v>116.5</v>
      </c>
      <c r="H4">
        <v>116.5</v>
      </c>
      <c r="AH4">
        <v>582.5</v>
      </c>
      <c r="AI4">
        <v>17.5</v>
      </c>
    </row>
    <row r="5" spans="1:35" x14ac:dyDescent="0.25">
      <c r="A5" t="s">
        <v>83</v>
      </c>
      <c r="B5" t="s">
        <v>19</v>
      </c>
      <c r="C5">
        <v>600</v>
      </c>
      <c r="D5">
        <v>116.5</v>
      </c>
      <c r="E5">
        <v>116.5</v>
      </c>
      <c r="F5">
        <v>116.5</v>
      </c>
      <c r="G5">
        <v>116.5</v>
      </c>
      <c r="H5">
        <v>116.5</v>
      </c>
      <c r="AH5">
        <v>582.5</v>
      </c>
      <c r="AI5">
        <v>17.5</v>
      </c>
    </row>
    <row r="6" spans="1:35" x14ac:dyDescent="0.25">
      <c r="A6" t="s">
        <v>83</v>
      </c>
      <c r="B6" t="s">
        <v>19</v>
      </c>
      <c r="C6">
        <v>600</v>
      </c>
      <c r="D6">
        <v>116.5</v>
      </c>
      <c r="E6">
        <v>116.5</v>
      </c>
      <c r="F6">
        <v>116.5</v>
      </c>
      <c r="G6">
        <v>116.5</v>
      </c>
      <c r="H6">
        <v>116.5</v>
      </c>
      <c r="AH6">
        <v>582.5</v>
      </c>
      <c r="AI6">
        <v>17.5</v>
      </c>
    </row>
    <row r="7" spans="1:35" x14ac:dyDescent="0.25">
      <c r="A7" t="s">
        <v>83</v>
      </c>
      <c r="B7" t="s">
        <v>19</v>
      </c>
      <c r="C7">
        <v>600</v>
      </c>
      <c r="D7">
        <v>116.5</v>
      </c>
      <c r="E7">
        <v>116.5</v>
      </c>
      <c r="F7">
        <v>116.5</v>
      </c>
      <c r="G7">
        <v>116.5</v>
      </c>
      <c r="H7">
        <v>116.5</v>
      </c>
      <c r="AH7">
        <v>582.5</v>
      </c>
      <c r="AI7">
        <v>17.5</v>
      </c>
    </row>
    <row r="8" spans="1:35" x14ac:dyDescent="0.25">
      <c r="A8" t="s">
        <v>83</v>
      </c>
      <c r="B8" t="s">
        <v>19</v>
      </c>
      <c r="C8">
        <v>600</v>
      </c>
      <c r="D8">
        <v>116.5</v>
      </c>
      <c r="E8">
        <v>116.5</v>
      </c>
      <c r="F8">
        <v>116.5</v>
      </c>
      <c r="AH8">
        <v>349.5</v>
      </c>
      <c r="AI8">
        <v>250.5</v>
      </c>
    </row>
    <row r="9" spans="1:35" x14ac:dyDescent="0.25">
      <c r="A9" t="s">
        <v>60</v>
      </c>
      <c r="B9" t="s">
        <v>16</v>
      </c>
      <c r="C9">
        <v>480</v>
      </c>
      <c r="D9">
        <v>165.5</v>
      </c>
      <c r="E9">
        <v>56.38</v>
      </c>
      <c r="F9">
        <v>56.38</v>
      </c>
      <c r="G9">
        <v>56.38</v>
      </c>
      <c r="H9">
        <v>46.88</v>
      </c>
      <c r="I9">
        <v>46.88</v>
      </c>
      <c r="J9">
        <v>46.88</v>
      </c>
      <c r="AH9">
        <v>475.28</v>
      </c>
      <c r="AI9">
        <v>4.7200000000000273</v>
      </c>
    </row>
    <row r="10" spans="1:35" x14ac:dyDescent="0.25">
      <c r="A10" t="s">
        <v>60</v>
      </c>
      <c r="B10" t="s">
        <v>16</v>
      </c>
      <c r="C10">
        <v>480</v>
      </c>
      <c r="D10">
        <v>165.5</v>
      </c>
      <c r="E10">
        <v>56.38</v>
      </c>
      <c r="F10">
        <v>56.38</v>
      </c>
      <c r="G10">
        <v>56.38</v>
      </c>
      <c r="H10">
        <v>46.88</v>
      </c>
      <c r="I10">
        <v>46.88</v>
      </c>
      <c r="J10">
        <v>46.88</v>
      </c>
      <c r="AH10">
        <v>475.28</v>
      </c>
      <c r="AI10">
        <v>4.7200000000000273</v>
      </c>
    </row>
    <row r="11" spans="1:35" x14ac:dyDescent="0.25">
      <c r="A11" t="s">
        <v>60</v>
      </c>
      <c r="B11" t="s">
        <v>16</v>
      </c>
      <c r="C11">
        <v>480</v>
      </c>
      <c r="D11">
        <v>153</v>
      </c>
      <c r="E11">
        <v>146.5</v>
      </c>
      <c r="F11">
        <v>146.5</v>
      </c>
      <c r="AH11">
        <v>446</v>
      </c>
      <c r="AI11">
        <v>34</v>
      </c>
    </row>
    <row r="12" spans="1:35" x14ac:dyDescent="0.25">
      <c r="A12" t="s">
        <v>60</v>
      </c>
      <c r="B12" t="s">
        <v>16</v>
      </c>
      <c r="C12">
        <v>480</v>
      </c>
      <c r="D12">
        <v>146.5</v>
      </c>
      <c r="E12">
        <v>146.5</v>
      </c>
      <c r="F12">
        <v>146.5</v>
      </c>
      <c r="AH12">
        <v>439.5</v>
      </c>
      <c r="AI12">
        <v>40.5</v>
      </c>
    </row>
    <row r="13" spans="1:35" x14ac:dyDescent="0.25">
      <c r="A13" t="s">
        <v>60</v>
      </c>
      <c r="B13" t="s">
        <v>16</v>
      </c>
      <c r="C13">
        <v>480</v>
      </c>
      <c r="D13">
        <v>146.5</v>
      </c>
      <c r="E13">
        <v>146.5</v>
      </c>
      <c r="F13">
        <v>146.5</v>
      </c>
      <c r="AH13">
        <v>439.5</v>
      </c>
      <c r="AI13">
        <v>40.5</v>
      </c>
    </row>
    <row r="14" spans="1:35" x14ac:dyDescent="0.25">
      <c r="A14" t="s">
        <v>60</v>
      </c>
      <c r="B14" t="s">
        <v>16</v>
      </c>
      <c r="C14">
        <v>480</v>
      </c>
      <c r="D14">
        <v>146.5</v>
      </c>
      <c r="E14">
        <v>146.5</v>
      </c>
      <c r="F14">
        <v>146.5</v>
      </c>
      <c r="AH14">
        <v>439.5</v>
      </c>
      <c r="AI14">
        <v>40.5</v>
      </c>
    </row>
    <row r="15" spans="1:35" x14ac:dyDescent="0.25">
      <c r="A15" t="s">
        <v>60</v>
      </c>
      <c r="B15" t="s">
        <v>16</v>
      </c>
      <c r="C15">
        <v>480</v>
      </c>
      <c r="D15">
        <v>146.5</v>
      </c>
      <c r="E15">
        <v>146.5</v>
      </c>
      <c r="F15">
        <v>146.5</v>
      </c>
      <c r="AH15">
        <v>439.5</v>
      </c>
      <c r="AI15">
        <v>40.5</v>
      </c>
    </row>
    <row r="16" spans="1:35" x14ac:dyDescent="0.25">
      <c r="A16" t="s">
        <v>60</v>
      </c>
      <c r="B16" t="s">
        <v>16</v>
      </c>
      <c r="C16">
        <v>480</v>
      </c>
      <c r="D16">
        <v>146.5</v>
      </c>
      <c r="E16">
        <v>146.5</v>
      </c>
      <c r="F16">
        <v>146.5</v>
      </c>
      <c r="AH16">
        <v>439.5</v>
      </c>
      <c r="AI16">
        <v>40.5</v>
      </c>
    </row>
    <row r="17" spans="1:35" x14ac:dyDescent="0.25">
      <c r="A17" t="s">
        <v>60</v>
      </c>
      <c r="B17" t="s">
        <v>16</v>
      </c>
      <c r="C17">
        <v>480</v>
      </c>
      <c r="D17">
        <v>146.5</v>
      </c>
      <c r="E17">
        <v>146.5</v>
      </c>
      <c r="F17">
        <v>146.5</v>
      </c>
      <c r="AH17">
        <v>439.5</v>
      </c>
      <c r="AI17">
        <v>40.5</v>
      </c>
    </row>
    <row r="18" spans="1:35" x14ac:dyDescent="0.25">
      <c r="A18" t="s">
        <v>60</v>
      </c>
      <c r="B18" t="s">
        <v>16</v>
      </c>
      <c r="C18">
        <v>480</v>
      </c>
      <c r="D18">
        <v>146.5</v>
      </c>
      <c r="E18">
        <v>146.5</v>
      </c>
      <c r="F18">
        <v>146.5</v>
      </c>
      <c r="AH18">
        <v>439.5</v>
      </c>
      <c r="AI18">
        <v>40.5</v>
      </c>
    </row>
    <row r="19" spans="1:35" x14ac:dyDescent="0.25">
      <c r="A19" t="s">
        <v>60</v>
      </c>
      <c r="B19" t="s">
        <v>16</v>
      </c>
      <c r="C19">
        <v>480</v>
      </c>
      <c r="D19">
        <v>146.5</v>
      </c>
      <c r="E19">
        <v>146.5</v>
      </c>
      <c r="F19">
        <v>146.5</v>
      </c>
      <c r="AH19">
        <v>439.5</v>
      </c>
      <c r="AI19">
        <v>40.5</v>
      </c>
    </row>
    <row r="20" spans="1:35" x14ac:dyDescent="0.25">
      <c r="A20" t="s">
        <v>60</v>
      </c>
      <c r="B20" t="s">
        <v>16</v>
      </c>
      <c r="C20">
        <v>480</v>
      </c>
      <c r="D20">
        <v>146.5</v>
      </c>
      <c r="E20">
        <v>146.5</v>
      </c>
      <c r="F20">
        <v>146.5</v>
      </c>
      <c r="AH20">
        <v>439.5</v>
      </c>
      <c r="AI20">
        <v>40.5</v>
      </c>
    </row>
    <row r="21" spans="1:35" x14ac:dyDescent="0.25">
      <c r="A21" t="s">
        <v>60</v>
      </c>
      <c r="B21" t="s">
        <v>16</v>
      </c>
      <c r="C21">
        <v>480</v>
      </c>
      <c r="D21">
        <v>146.5</v>
      </c>
      <c r="E21">
        <v>146.5</v>
      </c>
      <c r="F21">
        <v>146.5</v>
      </c>
      <c r="AH21">
        <v>439.5</v>
      </c>
      <c r="AI21">
        <v>40.5</v>
      </c>
    </row>
    <row r="22" spans="1:35" x14ac:dyDescent="0.25">
      <c r="A22" t="s">
        <v>60</v>
      </c>
      <c r="B22" t="s">
        <v>16</v>
      </c>
      <c r="C22">
        <v>480</v>
      </c>
      <c r="D22">
        <v>146.5</v>
      </c>
      <c r="E22">
        <v>146.5</v>
      </c>
      <c r="AH22">
        <v>293</v>
      </c>
      <c r="AI22">
        <v>187</v>
      </c>
    </row>
    <row r="23" spans="1:35" x14ac:dyDescent="0.25">
      <c r="A23" t="s">
        <v>94</v>
      </c>
      <c r="B23" t="s">
        <v>58</v>
      </c>
      <c r="C23">
        <v>480</v>
      </c>
      <c r="D23">
        <v>27.25</v>
      </c>
      <c r="E23">
        <v>15.69</v>
      </c>
      <c r="F23">
        <v>15.69</v>
      </c>
      <c r="G23">
        <v>15.69</v>
      </c>
      <c r="H23">
        <v>15.69</v>
      </c>
      <c r="I23">
        <v>15.69</v>
      </c>
      <c r="J23">
        <v>15.69</v>
      </c>
      <c r="K23">
        <v>15.69</v>
      </c>
      <c r="L23">
        <v>15.69</v>
      </c>
      <c r="M23">
        <v>15.69</v>
      </c>
      <c r="N23">
        <v>15.69</v>
      </c>
      <c r="O23">
        <v>15.69</v>
      </c>
      <c r="P23">
        <v>15.69</v>
      </c>
      <c r="Q23">
        <v>15.69</v>
      </c>
      <c r="R23">
        <v>15.69</v>
      </c>
      <c r="S23">
        <v>15.69</v>
      </c>
      <c r="T23">
        <v>15.69</v>
      </c>
      <c r="U23">
        <v>15.69</v>
      </c>
      <c r="V23">
        <v>15.69</v>
      </c>
      <c r="W23">
        <v>15.69</v>
      </c>
      <c r="X23">
        <v>15.69</v>
      </c>
      <c r="Y23">
        <v>15.69</v>
      </c>
      <c r="Z23">
        <v>15.69</v>
      </c>
      <c r="AA23">
        <v>15.69</v>
      </c>
      <c r="AB23">
        <v>15.69</v>
      </c>
      <c r="AC23">
        <v>15.69</v>
      </c>
      <c r="AD23">
        <v>15.69</v>
      </c>
      <c r="AE23">
        <v>15.64</v>
      </c>
      <c r="AF23">
        <v>14.86</v>
      </c>
      <c r="AG23">
        <v>13.64</v>
      </c>
      <c r="AH23">
        <v>479.32999999999993</v>
      </c>
      <c r="AI23">
        <v>0.67000000000007276</v>
      </c>
    </row>
    <row r="24" spans="1:35" x14ac:dyDescent="0.25">
      <c r="A24" t="s">
        <v>94</v>
      </c>
      <c r="B24" t="s">
        <v>58</v>
      </c>
      <c r="C24">
        <v>480</v>
      </c>
      <c r="D24">
        <v>15.69</v>
      </c>
      <c r="E24">
        <v>15.69</v>
      </c>
      <c r="F24">
        <v>15.69</v>
      </c>
      <c r="G24">
        <v>15.69</v>
      </c>
      <c r="H24">
        <v>15.69</v>
      </c>
      <c r="I24">
        <v>15.69</v>
      </c>
      <c r="J24">
        <v>27.25</v>
      </c>
      <c r="K24">
        <v>27.25</v>
      </c>
      <c r="L24">
        <v>27.25</v>
      </c>
      <c r="AH24">
        <v>175.89</v>
      </c>
      <c r="AI24">
        <v>304.11</v>
      </c>
    </row>
    <row r="25" spans="1:35" x14ac:dyDescent="0.25">
      <c r="A25" t="s">
        <v>112</v>
      </c>
      <c r="B25" t="s">
        <v>111</v>
      </c>
      <c r="C25">
        <v>240</v>
      </c>
      <c r="D25">
        <v>121</v>
      </c>
      <c r="E25">
        <v>113.75</v>
      </c>
      <c r="F25">
        <v>4</v>
      </c>
      <c r="AH25">
        <v>238.75</v>
      </c>
      <c r="AI25">
        <v>1.25</v>
      </c>
    </row>
    <row r="26" spans="1:35" x14ac:dyDescent="0.25">
      <c r="A26" t="s">
        <v>112</v>
      </c>
      <c r="B26" t="s">
        <v>111</v>
      </c>
      <c r="C26">
        <v>240</v>
      </c>
      <c r="D26">
        <v>113.75</v>
      </c>
      <c r="E26">
        <v>113.75</v>
      </c>
      <c r="F26">
        <v>4</v>
      </c>
      <c r="G26">
        <v>4</v>
      </c>
      <c r="H26">
        <v>4</v>
      </c>
      <c r="AH26">
        <v>239.5</v>
      </c>
      <c r="AI26">
        <v>0.5</v>
      </c>
    </row>
    <row r="27" spans="1:35" x14ac:dyDescent="0.25">
      <c r="A27" t="s">
        <v>112</v>
      </c>
      <c r="B27" t="s">
        <v>111</v>
      </c>
      <c r="C27">
        <v>240</v>
      </c>
      <c r="D27">
        <v>4</v>
      </c>
      <c r="E27">
        <v>4</v>
      </c>
      <c r="AH27">
        <v>8</v>
      </c>
      <c r="AI27">
        <v>232</v>
      </c>
    </row>
    <row r="28" spans="1:35" x14ac:dyDescent="0.25">
      <c r="A28" t="s">
        <v>113</v>
      </c>
      <c r="B28" t="s">
        <v>118</v>
      </c>
      <c r="C28">
        <v>480</v>
      </c>
      <c r="D28">
        <v>25.03</v>
      </c>
      <c r="E28">
        <v>32.880000000000003</v>
      </c>
      <c r="F28">
        <v>32.880000000000003</v>
      </c>
      <c r="AH28">
        <v>90.79</v>
      </c>
      <c r="AI28">
        <v>389.21</v>
      </c>
    </row>
    <row r="29" spans="1:35" x14ac:dyDescent="0.25">
      <c r="A29" t="s">
        <v>91</v>
      </c>
      <c r="B29" t="s">
        <v>55</v>
      </c>
      <c r="C29">
        <v>576</v>
      </c>
      <c r="D29">
        <v>576</v>
      </c>
      <c r="AH29">
        <v>576</v>
      </c>
      <c r="AI29">
        <v>0</v>
      </c>
    </row>
    <row r="30" spans="1:35" x14ac:dyDescent="0.25">
      <c r="A30" t="s">
        <v>91</v>
      </c>
      <c r="B30" t="s">
        <v>55</v>
      </c>
      <c r="C30">
        <v>576</v>
      </c>
      <c r="D30">
        <v>576</v>
      </c>
      <c r="AH30">
        <v>576</v>
      </c>
      <c r="AI30">
        <v>0</v>
      </c>
    </row>
    <row r="31" spans="1:35" x14ac:dyDescent="0.25">
      <c r="A31" t="s">
        <v>91</v>
      </c>
      <c r="B31" t="s">
        <v>55</v>
      </c>
      <c r="C31">
        <v>576</v>
      </c>
      <c r="D31">
        <v>576</v>
      </c>
      <c r="AH31">
        <v>576</v>
      </c>
      <c r="AI31">
        <v>0</v>
      </c>
    </row>
    <row r="32" spans="1:35" x14ac:dyDescent="0.25">
      <c r="A32" t="s">
        <v>91</v>
      </c>
      <c r="B32" t="s">
        <v>55</v>
      </c>
      <c r="C32">
        <v>576</v>
      </c>
      <c r="D32">
        <v>576</v>
      </c>
      <c r="AH32">
        <v>576</v>
      </c>
      <c r="AI32">
        <v>0</v>
      </c>
    </row>
    <row r="33" spans="1:35" x14ac:dyDescent="0.25">
      <c r="A33" t="s">
        <v>91</v>
      </c>
      <c r="B33" t="s">
        <v>55</v>
      </c>
      <c r="C33">
        <v>576</v>
      </c>
      <c r="D33">
        <v>135.5</v>
      </c>
      <c r="E33">
        <v>135.5</v>
      </c>
      <c r="F33">
        <v>135.5</v>
      </c>
      <c r="G33">
        <v>135.5</v>
      </c>
      <c r="AH33">
        <v>542</v>
      </c>
      <c r="AI33">
        <v>34</v>
      </c>
    </row>
    <row r="34" spans="1:35" x14ac:dyDescent="0.25">
      <c r="A34" t="s">
        <v>91</v>
      </c>
      <c r="B34" t="s">
        <v>55</v>
      </c>
      <c r="C34">
        <v>576</v>
      </c>
      <c r="D34">
        <v>135.5</v>
      </c>
      <c r="E34">
        <v>125.4</v>
      </c>
      <c r="F34">
        <v>125.4</v>
      </c>
      <c r="G34">
        <v>125.4</v>
      </c>
      <c r="H34">
        <v>23.39</v>
      </c>
      <c r="AH34">
        <v>535.08999999999992</v>
      </c>
      <c r="AI34">
        <v>40.910000000000082</v>
      </c>
    </row>
    <row r="35" spans="1:35" x14ac:dyDescent="0.25">
      <c r="A35" t="s">
        <v>91</v>
      </c>
      <c r="B35" t="s">
        <v>55</v>
      </c>
      <c r="C35">
        <v>576</v>
      </c>
      <c r="D35">
        <v>132.25</v>
      </c>
      <c r="E35">
        <v>132.25</v>
      </c>
      <c r="F35">
        <v>132.25</v>
      </c>
      <c r="G35">
        <v>132.25</v>
      </c>
      <c r="AH35">
        <v>529</v>
      </c>
      <c r="AI35">
        <v>47</v>
      </c>
    </row>
    <row r="36" spans="1:35" x14ac:dyDescent="0.25">
      <c r="A36" t="s">
        <v>91</v>
      </c>
      <c r="B36" t="s">
        <v>55</v>
      </c>
      <c r="C36">
        <v>576</v>
      </c>
      <c r="D36">
        <v>132.25</v>
      </c>
      <c r="E36">
        <v>132.25</v>
      </c>
      <c r="F36">
        <v>132.25</v>
      </c>
      <c r="G36">
        <v>132.25</v>
      </c>
      <c r="AH36">
        <v>529</v>
      </c>
      <c r="AI36">
        <v>47</v>
      </c>
    </row>
    <row r="37" spans="1:35" x14ac:dyDescent="0.25">
      <c r="A37" t="s">
        <v>115</v>
      </c>
      <c r="B37" t="s">
        <v>110</v>
      </c>
      <c r="C37">
        <v>480</v>
      </c>
      <c r="D37">
        <v>8</v>
      </c>
      <c r="E37">
        <v>8</v>
      </c>
      <c r="F37">
        <v>8</v>
      </c>
      <c r="G37">
        <v>8</v>
      </c>
      <c r="H37">
        <v>8</v>
      </c>
      <c r="I37">
        <v>8</v>
      </c>
      <c r="J37">
        <v>8</v>
      </c>
      <c r="K37">
        <v>8</v>
      </c>
      <c r="L37">
        <v>8</v>
      </c>
      <c r="M37">
        <v>8</v>
      </c>
      <c r="N37">
        <v>8</v>
      </c>
      <c r="O37">
        <v>8</v>
      </c>
      <c r="P37">
        <v>8</v>
      </c>
      <c r="Q37">
        <v>8</v>
      </c>
      <c r="R37">
        <v>8</v>
      </c>
      <c r="S37">
        <v>8</v>
      </c>
      <c r="T37">
        <v>8</v>
      </c>
      <c r="U37">
        <v>8</v>
      </c>
      <c r="V37">
        <v>8</v>
      </c>
      <c r="W37">
        <v>8</v>
      </c>
      <c r="AH37">
        <v>160</v>
      </c>
      <c r="AI37">
        <v>320</v>
      </c>
    </row>
    <row r="38" spans="1:35" x14ac:dyDescent="0.25">
      <c r="A38" t="s">
        <v>90</v>
      </c>
      <c r="B38" t="s">
        <v>51</v>
      </c>
      <c r="C38">
        <v>480</v>
      </c>
      <c r="D38">
        <v>8.85</v>
      </c>
      <c r="E38">
        <v>8.85</v>
      </c>
      <c r="F38">
        <v>8.85</v>
      </c>
      <c r="G38">
        <v>8.85</v>
      </c>
      <c r="H38">
        <v>8.85</v>
      </c>
      <c r="I38">
        <v>8.85</v>
      </c>
      <c r="J38">
        <v>8.85</v>
      </c>
      <c r="AH38">
        <v>61.95</v>
      </c>
      <c r="AI38">
        <v>418.05</v>
      </c>
    </row>
    <row r="39" spans="1:35" x14ac:dyDescent="0.25">
      <c r="A39" t="s">
        <v>79</v>
      </c>
      <c r="B39" t="s">
        <v>45</v>
      </c>
      <c r="C39">
        <v>240</v>
      </c>
      <c r="D39">
        <v>146.75</v>
      </c>
      <c r="E39">
        <v>53</v>
      </c>
      <c r="AH39">
        <v>199.75</v>
      </c>
      <c r="AI39">
        <v>40.25</v>
      </c>
    </row>
    <row r="40" spans="1:35" x14ac:dyDescent="0.25">
      <c r="A40" t="s">
        <v>79</v>
      </c>
      <c r="B40" t="s">
        <v>45</v>
      </c>
      <c r="C40">
        <v>240</v>
      </c>
      <c r="D40">
        <v>146.75</v>
      </c>
      <c r="E40">
        <v>53</v>
      </c>
      <c r="AH40">
        <v>199.75</v>
      </c>
      <c r="AI40">
        <v>40.25</v>
      </c>
    </row>
    <row r="41" spans="1:35" x14ac:dyDescent="0.25">
      <c r="A41" t="s">
        <v>79</v>
      </c>
      <c r="B41" t="s">
        <v>45</v>
      </c>
      <c r="C41">
        <v>240</v>
      </c>
      <c r="D41">
        <v>146.75</v>
      </c>
      <c r="AH41">
        <v>146.75</v>
      </c>
      <c r="AI41">
        <v>93.25</v>
      </c>
    </row>
    <row r="42" spans="1:35" x14ac:dyDescent="0.25">
      <c r="A42" t="s">
        <v>79</v>
      </c>
      <c r="B42" t="s">
        <v>45</v>
      </c>
      <c r="C42">
        <v>240</v>
      </c>
      <c r="D42">
        <v>120</v>
      </c>
      <c r="E42">
        <v>120</v>
      </c>
      <c r="AH42">
        <v>240</v>
      </c>
      <c r="AI42">
        <v>0</v>
      </c>
    </row>
    <row r="43" spans="1:35" x14ac:dyDescent="0.25">
      <c r="A43" t="s">
        <v>63</v>
      </c>
      <c r="B43" t="s">
        <v>32</v>
      </c>
      <c r="C43">
        <v>480</v>
      </c>
      <c r="D43">
        <v>208</v>
      </c>
      <c r="E43">
        <v>147.5</v>
      </c>
      <c r="F43">
        <v>100</v>
      </c>
      <c r="AH43">
        <v>455.5</v>
      </c>
      <c r="AI43">
        <v>24.5</v>
      </c>
    </row>
    <row r="44" spans="1:35" x14ac:dyDescent="0.25">
      <c r="A44" t="s">
        <v>63</v>
      </c>
      <c r="B44" t="s">
        <v>32</v>
      </c>
      <c r="C44">
        <v>480</v>
      </c>
      <c r="D44">
        <v>5</v>
      </c>
      <c r="E44">
        <v>5</v>
      </c>
      <c r="F44">
        <v>5</v>
      </c>
      <c r="G44">
        <v>5</v>
      </c>
      <c r="H44">
        <v>100</v>
      </c>
      <c r="I44">
        <v>208</v>
      </c>
      <c r="AH44">
        <v>328</v>
      </c>
      <c r="AI44">
        <v>152</v>
      </c>
    </row>
    <row r="45" spans="1:35" x14ac:dyDescent="0.25">
      <c r="A45" t="s">
        <v>109</v>
      </c>
      <c r="B45" t="s">
        <v>110</v>
      </c>
      <c r="C45">
        <v>480</v>
      </c>
      <c r="D45">
        <v>191.125</v>
      </c>
      <c r="E45">
        <v>136.625</v>
      </c>
      <c r="F45">
        <v>136.625</v>
      </c>
      <c r="AH45">
        <v>464.375</v>
      </c>
      <c r="AI45">
        <v>15.625</v>
      </c>
    </row>
    <row r="46" spans="1:35" x14ac:dyDescent="0.25">
      <c r="A46" t="s">
        <v>109</v>
      </c>
      <c r="B46" t="s">
        <v>110</v>
      </c>
      <c r="C46">
        <v>480</v>
      </c>
      <c r="D46">
        <v>191.125</v>
      </c>
      <c r="E46">
        <v>136.625</v>
      </c>
      <c r="F46">
        <v>136.625</v>
      </c>
      <c r="AH46">
        <v>464.375</v>
      </c>
      <c r="AI46">
        <v>15.625</v>
      </c>
    </row>
    <row r="47" spans="1:35" x14ac:dyDescent="0.25">
      <c r="A47" t="s">
        <v>109</v>
      </c>
      <c r="B47" t="s">
        <v>110</v>
      </c>
      <c r="C47">
        <v>480</v>
      </c>
      <c r="D47">
        <v>191.125</v>
      </c>
      <c r="E47">
        <v>136.625</v>
      </c>
      <c r="F47">
        <v>128.75</v>
      </c>
      <c r="AH47">
        <v>456.5</v>
      </c>
      <c r="AI47">
        <v>23.5</v>
      </c>
    </row>
    <row r="48" spans="1:35" x14ac:dyDescent="0.25">
      <c r="A48" t="s">
        <v>109</v>
      </c>
      <c r="B48" t="s">
        <v>110</v>
      </c>
      <c r="C48">
        <v>480</v>
      </c>
      <c r="D48">
        <v>191.125</v>
      </c>
      <c r="E48">
        <v>128.75</v>
      </c>
      <c r="F48">
        <v>128.75</v>
      </c>
      <c r="AH48">
        <v>448.625</v>
      </c>
      <c r="AI48">
        <v>31.375</v>
      </c>
    </row>
    <row r="49" spans="1:35" x14ac:dyDescent="0.25">
      <c r="A49" t="s">
        <v>109</v>
      </c>
      <c r="B49" t="s">
        <v>110</v>
      </c>
      <c r="C49">
        <v>480</v>
      </c>
      <c r="D49">
        <v>128.75</v>
      </c>
      <c r="E49">
        <v>128.75</v>
      </c>
      <c r="F49">
        <v>191.125</v>
      </c>
      <c r="AH49">
        <v>448.625</v>
      </c>
      <c r="AI49">
        <v>31.375</v>
      </c>
    </row>
    <row r="50" spans="1:35" x14ac:dyDescent="0.25">
      <c r="A50" t="s">
        <v>95</v>
      </c>
      <c r="B50" t="s">
        <v>49</v>
      </c>
      <c r="C50">
        <v>576</v>
      </c>
      <c r="D50">
        <v>412.625</v>
      </c>
      <c r="E50">
        <v>31</v>
      </c>
      <c r="F50">
        <v>31</v>
      </c>
      <c r="G50">
        <v>31</v>
      </c>
      <c r="H50">
        <v>31</v>
      </c>
      <c r="I50">
        <v>31</v>
      </c>
      <c r="AH50">
        <v>567.625</v>
      </c>
      <c r="AI50">
        <v>8.375</v>
      </c>
    </row>
    <row r="51" spans="1:35" x14ac:dyDescent="0.25">
      <c r="A51" t="s">
        <v>95</v>
      </c>
      <c r="B51" t="s">
        <v>49</v>
      </c>
      <c r="C51">
        <v>576</v>
      </c>
      <c r="D51">
        <v>412.625</v>
      </c>
      <c r="E51">
        <v>144.125</v>
      </c>
      <c r="AH51">
        <v>556.75</v>
      </c>
      <c r="AI51">
        <v>19.25</v>
      </c>
    </row>
    <row r="52" spans="1:35" x14ac:dyDescent="0.25">
      <c r="A52" t="s">
        <v>95</v>
      </c>
      <c r="B52" t="s">
        <v>49</v>
      </c>
      <c r="C52">
        <v>576</v>
      </c>
      <c r="D52">
        <v>403.5</v>
      </c>
      <c r="E52">
        <v>144.125</v>
      </c>
      <c r="AH52">
        <v>547.625</v>
      </c>
      <c r="AI52">
        <v>28.375</v>
      </c>
    </row>
    <row r="53" spans="1:35" x14ac:dyDescent="0.25">
      <c r="A53" t="s">
        <v>95</v>
      </c>
      <c r="B53" t="s">
        <v>49</v>
      </c>
      <c r="C53">
        <v>576</v>
      </c>
      <c r="D53">
        <v>403.5</v>
      </c>
      <c r="E53">
        <v>141.375</v>
      </c>
      <c r="AH53">
        <v>544.875</v>
      </c>
      <c r="AI53">
        <v>31.125</v>
      </c>
    </row>
    <row r="54" spans="1:35" x14ac:dyDescent="0.25">
      <c r="A54" t="s">
        <v>95</v>
      </c>
      <c r="B54" t="s">
        <v>49</v>
      </c>
      <c r="C54">
        <v>576</v>
      </c>
      <c r="D54">
        <v>141.375</v>
      </c>
      <c r="E54">
        <v>141.375</v>
      </c>
      <c r="F54">
        <v>141.375</v>
      </c>
      <c r="G54">
        <v>141.375</v>
      </c>
      <c r="AH54">
        <v>565.5</v>
      </c>
      <c r="AI54">
        <v>10.5</v>
      </c>
    </row>
    <row r="55" spans="1:35" x14ac:dyDescent="0.25">
      <c r="A55" t="s">
        <v>95</v>
      </c>
      <c r="B55" t="s">
        <v>49</v>
      </c>
      <c r="C55">
        <v>576</v>
      </c>
      <c r="D55">
        <v>133.375</v>
      </c>
      <c r="E55">
        <v>133.375</v>
      </c>
      <c r="F55">
        <v>141.375</v>
      </c>
      <c r="G55">
        <v>141.375</v>
      </c>
      <c r="AH55">
        <v>549.5</v>
      </c>
      <c r="AI55">
        <v>26.5</v>
      </c>
    </row>
    <row r="56" spans="1:35" x14ac:dyDescent="0.25">
      <c r="A56" t="s">
        <v>92</v>
      </c>
      <c r="B56" t="s">
        <v>53</v>
      </c>
      <c r="C56">
        <v>480</v>
      </c>
      <c r="D56">
        <v>130.625</v>
      </c>
      <c r="E56">
        <v>138.625</v>
      </c>
      <c r="F56">
        <v>191.25</v>
      </c>
      <c r="AH56">
        <v>460.5</v>
      </c>
      <c r="AI56">
        <v>19.5</v>
      </c>
    </row>
    <row r="58" spans="1:35" x14ac:dyDescent="0.25">
      <c r="C58">
        <v>26904</v>
      </c>
      <c r="AH58">
        <v>23468.485000000001</v>
      </c>
      <c r="AI58">
        <v>3435.5150000000003</v>
      </c>
    </row>
    <row r="59" spans="1:35" x14ac:dyDescent="0.25">
      <c r="AI59" s="40">
        <v>0.12770000000000001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2021-07-19T07:35:15Z</dcterms:modified>
</cp:coreProperties>
</file>