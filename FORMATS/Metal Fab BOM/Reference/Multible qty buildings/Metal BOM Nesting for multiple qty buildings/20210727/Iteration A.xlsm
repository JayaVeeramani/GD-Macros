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Dropbox\FBD\IMP E-Mails and Information\WIP\Metal BOM Nesting\20210727\"/>
    </mc:Choice>
  </mc:AlternateContent>
  <xr:revisionPtr revIDLastSave="0" documentId="13_ncr:1_{EB64E2BB-00F2-48AF-A053-4F58DA2A028D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Sheet1" sheetId="1" r:id="rId1"/>
    <sheet name="Sheet2" sheetId="15" r:id="rId2"/>
    <sheet name="NestingSummary" sheetId="133" r:id="rId3"/>
    <sheet name="DetailedNesting" sheetId="13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6" i="1" l="1"/>
</calcChain>
</file>

<file path=xl/sharedStrings.xml><?xml version="1.0" encoding="utf-8"?>
<sst xmlns="http://schemas.openxmlformats.org/spreadsheetml/2006/main" count="284" uniqueCount="159">
  <si>
    <t>PROJECT#</t>
  </si>
  <si>
    <t>REVISION</t>
  </si>
  <si>
    <t>SUBMITTED BY</t>
  </si>
  <si>
    <t>PROJECT NAME</t>
  </si>
  <si>
    <t>DATE</t>
  </si>
  <si>
    <t>CHECKED &amp; APPROVED BY</t>
  </si>
  <si>
    <t>SL. NO.</t>
  </si>
  <si>
    <t>PART#</t>
  </si>
  <si>
    <t>LEGEND</t>
  </si>
  <si>
    <t>ITEM #</t>
  </si>
  <si>
    <t>DESCRIPTION</t>
  </si>
  <si>
    <t>QTY.</t>
  </si>
  <si>
    <t>LENGTH (in.)</t>
  </si>
  <si>
    <t>RAW MATERIAL 
NUMBER</t>
  </si>
  <si>
    <t>804-15023</t>
  </si>
  <si>
    <t>804-03028</t>
  </si>
  <si>
    <t>Keep only items needed for nesting</t>
  </si>
  <si>
    <t>804-15010</t>
  </si>
  <si>
    <t>Beam-W4x13 lb/ft</t>
  </si>
  <si>
    <t>FT</t>
  </si>
  <si>
    <t>804-15004</t>
  </si>
  <si>
    <t>Beam-W6x9.0 lb/ft</t>
  </si>
  <si>
    <t>804-15011</t>
  </si>
  <si>
    <t>Beam-W8x10.0 lb/ft</t>
  </si>
  <si>
    <t>804-15022</t>
  </si>
  <si>
    <t>Beam-W10x17.0 lb/ft</t>
  </si>
  <si>
    <t>Beam-W12x30.0 lb/ft</t>
  </si>
  <si>
    <t>804-15017</t>
  </si>
  <si>
    <t>Beam-W18x50 lb/ft</t>
  </si>
  <si>
    <t>804-16001</t>
  </si>
  <si>
    <t>Channel, C6x8.2</t>
  </si>
  <si>
    <t>804-03007</t>
  </si>
  <si>
    <t>Channel, C8x11.5.0 lb/ft</t>
  </si>
  <si>
    <t>804-00026</t>
  </si>
  <si>
    <t>Channel, C10x15.3</t>
  </si>
  <si>
    <t>Channel, C12x25</t>
  </si>
  <si>
    <t>804-16002</t>
  </si>
  <si>
    <t>Channel, MC6X18 lb/ft (50ksi)</t>
  </si>
  <si>
    <t>804-16003</t>
  </si>
  <si>
    <t>Channel, MC8x22.8 lb/ft</t>
  </si>
  <si>
    <t>804-15030</t>
  </si>
  <si>
    <t>Channel, MC10x22 lb/ft</t>
  </si>
  <si>
    <t>804-00939</t>
  </si>
  <si>
    <t>Channel, MC12x45.0 lb/ft</t>
  </si>
  <si>
    <t>804-16005</t>
  </si>
  <si>
    <t>Channel, MC18x42.7</t>
  </si>
  <si>
    <t>804-11017</t>
  </si>
  <si>
    <t>Flatbar-1/4" X 1 1/2"</t>
  </si>
  <si>
    <t>804-11002</t>
  </si>
  <si>
    <t>Flatbar-3/8" X 4"</t>
  </si>
  <si>
    <t>804-18025</t>
  </si>
  <si>
    <t>Tubing 3" x 3" x 3/16" Steel (50ksi)</t>
  </si>
  <si>
    <t>804-18005</t>
  </si>
  <si>
    <t>Tubing, 3" x 3" x 3/8" Steel (50ksi)</t>
  </si>
  <si>
    <t>804-00037</t>
  </si>
  <si>
    <t>Tubing 6" x 3" x 3/8" Rectangular HSS ASTM A500 Steel</t>
  </si>
  <si>
    <t>804-05063</t>
  </si>
  <si>
    <t xml:space="preserve">Tubing 4"x4"x1/8"  </t>
  </si>
  <si>
    <t>804-14006</t>
  </si>
  <si>
    <t>804-14012</t>
  </si>
  <si>
    <t>Raw Ang. 3" X 2" X 3/16"</t>
  </si>
  <si>
    <t>804-14010</t>
  </si>
  <si>
    <t>Raw Angle, 3" x 3" x 1/4"</t>
  </si>
  <si>
    <t>W4x13</t>
  </si>
  <si>
    <t>W18x50</t>
  </si>
  <si>
    <t>C6x8.2</t>
  </si>
  <si>
    <t>C10x15.3</t>
  </si>
  <si>
    <t>C12x25</t>
  </si>
  <si>
    <t>MC8x22.8</t>
  </si>
  <si>
    <t>MC10x22</t>
  </si>
  <si>
    <t>MC18x42.7</t>
  </si>
  <si>
    <t>Short Desc.</t>
  </si>
  <si>
    <t>Length (inches)</t>
  </si>
  <si>
    <t>Part #</t>
  </si>
  <si>
    <t>Length</t>
  </si>
  <si>
    <t>Unit</t>
  </si>
  <si>
    <t>Long Description</t>
  </si>
  <si>
    <t>SUPPLIER</t>
  </si>
  <si>
    <t>SUB-ASSEMBLY</t>
  </si>
  <si>
    <t>REMARKS</t>
  </si>
  <si>
    <t>Instructions:</t>
  </si>
  <si>
    <t>Right description on column E</t>
  </si>
  <si>
    <t>Required raw material present in sheet2</t>
  </si>
  <si>
    <t>FLAT BAR-3/8"X4"</t>
  </si>
  <si>
    <t>FLAT BAR-1/4"X1 1/2"</t>
  </si>
  <si>
    <t>MC6x18</t>
  </si>
  <si>
    <t>W12x30</t>
  </si>
  <si>
    <t>W10x17</t>
  </si>
  <si>
    <t>W6x9</t>
  </si>
  <si>
    <t>W8x10</t>
  </si>
  <si>
    <t>C8x11.5</t>
  </si>
  <si>
    <t>Quantity cell should be a number/fraction</t>
  </si>
  <si>
    <t>Length is in inches and the cell should be in number/fraction</t>
  </si>
  <si>
    <t>MC12x45</t>
  </si>
  <si>
    <t>Item Description</t>
  </si>
  <si>
    <t>Raw Material Number</t>
  </si>
  <si>
    <t>Purchase Length</t>
  </si>
  <si>
    <t>Raw Material</t>
  </si>
  <si>
    <t>Cut Length1</t>
  </si>
  <si>
    <t>Cut Length2</t>
  </si>
  <si>
    <t>Cut Length3</t>
  </si>
  <si>
    <t>Any item length should not exceed (purchase length - 2 inches)</t>
  </si>
  <si>
    <t>Qty</t>
  </si>
  <si>
    <t>Purchase Length(inches)</t>
  </si>
  <si>
    <t>Total Length(ft)</t>
  </si>
  <si>
    <t>Purchase Length(ft)</t>
  </si>
  <si>
    <t>HSS3x3x3/8</t>
  </si>
  <si>
    <t>HSS4x4x1/8</t>
  </si>
  <si>
    <t>HSS6x3x3/8</t>
  </si>
  <si>
    <t>L2x2x3/16</t>
  </si>
  <si>
    <t>L3x2x3/16</t>
  </si>
  <si>
    <t>L3x3x1/4</t>
  </si>
  <si>
    <t>HSS3x3x3/16</t>
  </si>
  <si>
    <t>Total Cut Length</t>
  </si>
  <si>
    <t>Total Waste</t>
  </si>
  <si>
    <t>HSS3x2x1/4</t>
  </si>
  <si>
    <t>804-00040</t>
  </si>
  <si>
    <t>HSS8x4x5/8</t>
  </si>
  <si>
    <t>804-00089</t>
  </si>
  <si>
    <t>Cut Length4</t>
  </si>
  <si>
    <t>W12x50</t>
  </si>
  <si>
    <t>C12x30</t>
  </si>
  <si>
    <t>L3x3x1/2</t>
  </si>
  <si>
    <t>L7x4x3/8</t>
  </si>
  <si>
    <t>HSS6x4x3/8</t>
  </si>
  <si>
    <t>HSS6x6x3/8</t>
  </si>
  <si>
    <t>W12x35</t>
  </si>
  <si>
    <t>Raw Ang. 2 X 2 X 3/16"</t>
  </si>
  <si>
    <t>L5x3 1/2x3/8</t>
  </si>
  <si>
    <t>804-14016</t>
  </si>
  <si>
    <t>Pipe 3" Sch 40</t>
  </si>
  <si>
    <t>804-17002</t>
  </si>
  <si>
    <t>Raw Ang. 5" x 3 1/2" x 3/8"</t>
  </si>
  <si>
    <t>Pipe 2" Sch 40</t>
  </si>
  <si>
    <t>804-17004</t>
  </si>
  <si>
    <t>Pipe 3" Sch 40 Raw Bare</t>
  </si>
  <si>
    <t>Grating 3/16" x 1 1/2" x 24" x 20' N-Ser 19W4 Galvanized</t>
  </si>
  <si>
    <t>804-02013</t>
  </si>
  <si>
    <t>Pipe 2" Sch 40 Raw Bare</t>
  </si>
  <si>
    <t>804-00059</t>
  </si>
  <si>
    <t>Grating 3/16" x 1 1/2" x 24"</t>
  </si>
  <si>
    <t>P1</t>
  </si>
  <si>
    <t>804-05037</t>
  </si>
  <si>
    <t>Raw Ang. 2 X 2 X 1/4"</t>
  </si>
  <si>
    <t>P2</t>
  </si>
  <si>
    <t xml:space="preserve">Tubing 8"x2"x3/8"  </t>
  </si>
  <si>
    <t>804-00053</t>
  </si>
  <si>
    <t>804-00957</t>
  </si>
  <si>
    <t>804-14013</t>
  </si>
  <si>
    <t>L2x2x1/4</t>
  </si>
  <si>
    <t>804-14007</t>
  </si>
  <si>
    <t>HSS8x2x3/8</t>
  </si>
  <si>
    <t>P3</t>
  </si>
  <si>
    <t>Cut Length5</t>
  </si>
  <si>
    <t>Cut Length6</t>
  </si>
  <si>
    <t>Cut Length7</t>
  </si>
  <si>
    <t>Cut Length8</t>
  </si>
  <si>
    <t>Cut Length9</t>
  </si>
  <si>
    <t>P01559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</si>
</sst>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 mmm\ yy"/>
  </numFmts>
  <fonts count="9" x14ac:knownFonts="1">
    <font>
      <sz val="11"/>
      <color theme="1"/>
      <name val="Calibri"/>
      <family val="2"/>
      <scheme val="minor"/>
    </font>
    <font>
      <b/>
      <sz val="10"/>
      <color rgb="FF000000"/>
      <name val="Arial"/>
      <family val="2"/>
      <charset val="1"/>
    </font>
    <font>
      <sz val="10"/>
      <color rgb="FF00000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5"/>
      <color theme="3"/>
      <name val="Calibri"/>
      <family val="2"/>
      <scheme val="minor"/>
    </font>
    <font>
      <b/>
      <sz val="18"/>
      <color rgb="FF000000"/>
      <name val="Calibri"/>
      <family val="2"/>
    </font>
    <font>
      <sz val="8"/>
      <color indexed="8"/>
      <name val="Arial"/>
      <family val="2"/>
    </font>
    <font>
      <b/>
      <sz val="16"/>
      <color theme="1"/>
      <name val="Calibri"/>
      <family val="2"/>
      <scheme val="minor"/>
    </font>
    <font>
      <sz val="8"/>
      <color theme="1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D6DCE5"/>
        <bgColor rgb="FFCCFFCC"/>
      </patternFill>
    </fill>
    <fill>
      <patternFill patternType="solid">
        <fgColor rgb="FFA9D18E"/>
        <bgColor rgb="FF99CCFF"/>
      </patternFill>
    </fill>
    <fill>
      <patternFill patternType="solid">
        <fgColor rgb="FF4472C4"/>
        <bgColor rgb="FF666699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thick">
        <color theme="4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23">
    <xf numFmtId="0" fontId="0" fillId="0" borderId="0" xfId="0"/>
    <xf numFmtId="0" fontId="1" fillId="2" borderId="1" xfId="0" applyFont="1" applyFill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left" vertical="center" wrapText="1"/>
    </xf>
    <xf numFmtId="164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0" fontId="2" fillId="3" borderId="1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 wrapText="1"/>
    </xf>
    <xf numFmtId="0" fontId="3" fillId="4" borderId="2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14" fontId="2" fillId="0" borderId="0" xfId="0" applyNumberFormat="1" applyFont="1"/>
    <xf numFmtId="0" fontId="4" fillId="0" borderId="3" xfId="1"/>
    <xf numFmtId="0" fontId="0" fillId="0" borderId="0" xfId="0" applyFill="1"/>
    <xf numFmtId="0" fontId="7" fillId="0" borderId="0" xfId="0" applyFont="1"/>
    <xf numFmtId="10" fontId="0" fillId="0" borderId="0" xfId="0" applyNumberFormat="1"/>
    <xf numFmtId="0" fontId="2" fillId="0" borderId="2" xfId="0" applyFont="1" applyBorder="1" applyAlignment="1">
      <alignment horizontal="left" vertical="center"/>
    </xf>
    <xf numFmtId="0" fontId="6" fillId="0" borderId="4" xfId="0" applyFont="1" applyBorder="1" applyAlignment="1">
      <alignment horizontal="left" vertical="center" wrapText="1"/>
    </xf>
    <xf numFmtId="0" fontId="6" fillId="0" borderId="4" xfId="0" applyFont="1" applyBorder="1" applyAlignment="1">
      <alignment horizontal="center" vertical="center" wrapText="1"/>
    </xf>
    <xf numFmtId="2" fontId="6" fillId="0" borderId="4" xfId="0" applyNumberFormat="1" applyFont="1" applyBorder="1" applyAlignment="1">
      <alignment horizontal="center" vertical="center" wrapText="1"/>
    </xf>
    <xf numFmtId="0" fontId="8" fillId="0" borderId="0" xfId="0" applyFont="1"/>
  </cellXfs>
  <cellStyles count="2">
    <cellStyle name="Heading 1" xfId="1" builtinId="16"/>
    <cellStyle name="Normal" xfId="0" builtinId="0"/>
  </cellStyles>
  <dxfs count="14"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Arial"/>
        <family val="2"/>
        <charset val="1"/>
        <scheme val="none"/>
      </font>
      <alignment horizontal="lef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180975</xdr:rowOff>
        </xdr:from>
        <xdr:to>
          <xdr:col>12</xdr:col>
          <xdr:colOff>3200400</xdr:colOff>
          <xdr:row>3</xdr:row>
          <xdr:rowOff>476250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Nested BOM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134352A-D618-4262-9211-CCD75D4CA07D}" name="Table1" displayName="Table1" ref="A4:K42" totalsRowShown="0">
  <autoFilter ref="A4:K42" xr:uid="{CDF9619B-F0E7-490D-BEFA-727196256470}"/>
  <sortState xmlns:xlrd2="http://schemas.microsoft.com/office/spreadsheetml/2017/richdata2" ref="A5:J14">
    <sortCondition ref="E5:E14"/>
    <sortCondition descending="1" ref="G5:G14"/>
  </sortState>
  <tableColumns count="11">
    <tableColumn id="1" xr3:uid="{4774FE6E-D79F-4E40-98D1-FE10D40ABC07}" name="SL. NO." dataDxfId="13"/>
    <tableColumn id="2" xr3:uid="{9884691F-0A0D-47CB-8EF0-9AE590C29CC9}" name="PART#" dataDxfId="12"/>
    <tableColumn id="3" xr3:uid="{3868E0BB-A494-4109-A7E8-244E1F15175E}" name="LEGEND" dataDxfId="11"/>
    <tableColumn id="4" xr3:uid="{A4F222A3-F838-4FED-8402-8D5E4131929A}" name="ITEM #" dataDxfId="10"/>
    <tableColumn id="5" xr3:uid="{6C82C4FD-0222-4263-8F8F-1DE29AB0E7E9}" name="DESCRIPTION" dataDxfId="9"/>
    <tableColumn id="6" xr3:uid="{74DDC800-B5E7-459A-ABF8-ABAF51A457AC}" name="QTY." dataDxfId="8"/>
    <tableColumn id="7" xr3:uid="{119738FE-8C63-4234-ACE4-FA9F6A046F9C}" name="LENGTH (in.)" dataDxfId="7"/>
    <tableColumn id="8" xr3:uid="{E4370ABC-D39E-4392-8F0E-6B9C56981840}" name="RAW MATERIAL _x000a_NUMBER" dataDxfId="6"/>
    <tableColumn id="9" xr3:uid="{1A2B8888-81A1-4DB4-A951-BBABDB4647C7}" name="SUPPLIER"/>
    <tableColumn id="10" xr3:uid="{709F9ABD-F4C3-4F5E-9F71-D158E141171F}" name="SUB-ASSEMBLY"/>
    <tableColumn id="11" xr3:uid="{047AD226-E9D9-4FBE-A92A-B42E92B0B3A3}" name="REMARKS" dataDxfId="5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71AB35A-6A34-4971-B846-46833989D6D7}" name="Table1" displayName="Table1_1" ref="A1:F4" totalsRowShown="0" headerRowDxfId="0">
  <autoFilter ref="A1:F4" xr:uid="{D71AB35A-6A34-4971-B846-46833989D6D7}"/>
  <tableColumns count="6">
    <tableColumn id="1" xr3:uid="{32467D04-DD21-4607-957B-6FA2F92A2206}" name="Item Description"/>
    <tableColumn id="2" xr3:uid="{67D41BA0-AE20-421D-929F-70A2793158E2}" name="Raw Material Number"/>
    <tableColumn id="3" xr3:uid="{97556D46-987B-4B6B-B6BA-506D90F6068A}" name="Qty"/>
    <tableColumn id="4" xr3:uid="{B98F28F3-A8EF-4266-AF4E-EE2D734997A5}" name="Purchase Length(inches)"/>
    <tableColumn id="5" xr3:uid="{4B4EE9E7-528F-4353-A650-C793C1755874}" name="Purchase Length(ft)"/>
    <tableColumn id="6" xr3:uid="{81926DE0-C673-4360-A544-8FF3581002E7}" name="Total Length(ft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8216A55-192C-4FC4-9F7C-1AC6C86432E0}" name="Table2" displayName="Table2" ref="A1:N24" totalsRowShown="0">
  <autoFilter ref="A1:N24" xr:uid="{48216A55-192C-4FC4-9F7C-1AC6C86432E0}"/>
  <tableColumns count="14">
    <tableColumn id="1" xr3:uid="{0AB90DC2-7B5A-480B-8C0D-8D8572C042B3}" name="Item Description"/>
    <tableColumn id="2" xr3:uid="{28421C31-8122-4D85-AC03-8BAD1279F889}" name="Raw Material"/>
    <tableColumn id="3" xr3:uid="{1EA4BBDE-8CB0-43F3-83EE-49679D71C10D}" name="Purchase Length"/>
    <tableColumn id="4" xr3:uid="{3A45F7E2-9639-4EDD-A66A-BD16895396AA}" name="Cut Length1"/>
    <tableColumn id="5" xr3:uid="{A73FB80F-5D95-4E9E-AEB8-0D657F202557}" name="Cut Length2"/>
    <tableColumn id="6" xr3:uid="{99CE9D97-A81D-4A97-96CC-93E480BA0754}" name="Cut Length3"/>
    <tableColumn id="7" xr3:uid="{EF6DB36A-6776-4040-A803-37AF6E41872A}" name="Cut Length4"/>
    <tableColumn id="8" xr3:uid="{956AA8A0-0134-4994-AC87-AB6CC12D4A1E}" name="Cut Length5"/>
    <tableColumn id="9" xr3:uid="{3A969161-C883-4DEB-AB2E-3D5FAB8114EE}" name="Cut Length6"/>
    <tableColumn id="10" xr3:uid="{6F018659-0E63-47E7-A1F9-2D1F98CA661D}" name="Cut Length7"/>
    <tableColumn id="11" xr3:uid="{E91FBFDD-8745-449A-A2C1-068EA8788D65}" name="Cut Length8"/>
    <tableColumn id="12" xr3:uid="{8F256C13-8CCC-4AD9-9888-54F17E269840}" name="Cut Length9"/>
    <tableColumn id="13" xr3:uid="{DABB276F-8AA3-42AA-8665-08DFD4AD2833}" name="Total Cut Length"/>
    <tableColumn id="14" xr3:uid="{0B224A17-3174-45C0-89EA-695BF88BD14B}" name="Total Wast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MI42"/>
  <sheetViews>
    <sheetView tabSelected="1" workbookViewId="0">
      <selection activeCell="I19" sqref="I19"/>
    </sheetView>
  </sheetViews>
  <sheetFormatPr defaultRowHeight="15" x14ac:dyDescent="0.25"/>
  <cols>
    <col min="1" max="1" width="15.5703125" style="7" customWidth="1"/>
    <col min="2" max="2" width="26.5703125" style="8" customWidth="1"/>
    <col min="3" max="3" width="12.85546875" style="7" customWidth="1"/>
    <col min="4" max="4" width="7" style="7" bestFit="1" customWidth="1"/>
    <col min="5" max="5" width="26" style="7" bestFit="1" customWidth="1"/>
    <col min="6" max="6" width="7.85546875" style="7" bestFit="1" customWidth="1"/>
    <col min="7" max="7" width="14.5703125" style="7" customWidth="1"/>
    <col min="8" max="8" width="10.5703125" style="7" customWidth="1"/>
    <col min="9" max="9" width="15.5703125" style="7" bestFit="1" customWidth="1"/>
    <col min="10" max="10" width="15.7109375" style="7" bestFit="1" customWidth="1"/>
    <col min="11" max="11" width="22" style="7" customWidth="1"/>
    <col min="12" max="12" width="3.85546875" style="7" customWidth="1"/>
    <col min="13" max="13" width="58.140625" bestFit="1" customWidth="1"/>
    <col min="14" max="16" width="11.5703125" customWidth="1"/>
    <col min="17" max="1023" width="11.5703125" style="7" customWidth="1"/>
  </cols>
  <sheetData>
    <row r="1" spans="1:13" x14ac:dyDescent="0.25">
      <c r="A1" s="1" t="s">
        <v>0</v>
      </c>
      <c r="B1" s="2"/>
      <c r="C1" s="3" t="s">
        <v>1</v>
      </c>
      <c r="D1" s="4">
        <v>1</v>
      </c>
      <c r="E1" s="3" t="s">
        <v>2</v>
      </c>
      <c r="F1" s="4"/>
      <c r="G1" s="3"/>
      <c r="H1" s="3"/>
      <c r="I1" s="3"/>
      <c r="J1" s="3"/>
      <c r="K1" s="3"/>
    </row>
    <row r="2" spans="1:13" x14ac:dyDescent="0.25">
      <c r="A2" s="1" t="s">
        <v>3</v>
      </c>
      <c r="B2" s="5"/>
      <c r="C2" s="3" t="s">
        <v>4</v>
      </c>
      <c r="D2" s="6"/>
      <c r="E2" s="3" t="s">
        <v>5</v>
      </c>
      <c r="F2" s="4"/>
      <c r="G2" s="3"/>
      <c r="H2" s="3"/>
      <c r="I2" s="3"/>
      <c r="J2" s="3"/>
      <c r="K2" s="3"/>
    </row>
    <row r="3" spans="1:13" x14ac:dyDescent="0.25">
      <c r="E3" s="9"/>
    </row>
    <row r="4" spans="1:13" ht="38.25" x14ac:dyDescent="0.25">
      <c r="A4" s="10" t="s">
        <v>6</v>
      </c>
      <c r="B4" s="11" t="s">
        <v>7</v>
      </c>
      <c r="C4" s="10" t="s">
        <v>8</v>
      </c>
      <c r="D4" s="10" t="s">
        <v>9</v>
      </c>
      <c r="E4" s="10" t="s">
        <v>10</v>
      </c>
      <c r="F4" s="10" t="s">
        <v>11</v>
      </c>
      <c r="G4" s="10" t="s">
        <v>12</v>
      </c>
      <c r="H4" s="10" t="s">
        <v>13</v>
      </c>
      <c r="I4" s="10" t="s">
        <v>77</v>
      </c>
      <c r="J4" s="10" t="s">
        <v>78</v>
      </c>
      <c r="K4" s="10" t="s">
        <v>79</v>
      </c>
    </row>
    <row r="5" spans="1:13" x14ac:dyDescent="0.25">
      <c r="A5" s="18"/>
      <c r="B5" s="19"/>
      <c r="C5" s="20"/>
      <c r="D5" s="19"/>
      <c r="E5" s="19" t="s">
        <v>106</v>
      </c>
      <c r="F5" s="20">
        <v>1</v>
      </c>
      <c r="G5" s="21">
        <v>208.375</v>
      </c>
      <c r="H5" s="18"/>
      <c r="I5" s="18"/>
      <c r="J5" s="18"/>
      <c r="K5" s="18"/>
    </row>
    <row r="6" spans="1:13" ht="20.25" thickBot="1" x14ac:dyDescent="0.35">
      <c r="A6" s="18"/>
      <c r="B6" s="19"/>
      <c r="C6" s="20"/>
      <c r="D6" s="19"/>
      <c r="E6" s="19" t="s">
        <v>106</v>
      </c>
      <c r="F6" s="20">
        <v>1</v>
      </c>
      <c r="G6" s="21">
        <v>175.75</v>
      </c>
      <c r="H6" s="18"/>
      <c r="I6" s="18"/>
      <c r="J6" s="18"/>
      <c r="K6" s="18"/>
      <c r="M6" s="14" t="s">
        <v>80</v>
      </c>
    </row>
    <row r="7" spans="1:13" ht="15.75" thickTop="1" x14ac:dyDescent="0.25">
      <c r="A7" s="18"/>
      <c r="B7" s="19"/>
      <c r="C7" s="20"/>
      <c r="D7" s="19"/>
      <c r="E7" s="19" t="s">
        <v>106</v>
      </c>
      <c r="F7" s="20">
        <v>1</v>
      </c>
      <c r="G7" s="21">
        <v>77.125</v>
      </c>
      <c r="H7" s="18"/>
      <c r="I7" s="18"/>
      <c r="J7" s="18"/>
      <c r="K7" s="18"/>
      <c r="M7" s="12" t="s">
        <v>81</v>
      </c>
    </row>
    <row r="8" spans="1:13" x14ac:dyDescent="0.25">
      <c r="A8" s="18"/>
      <c r="B8" s="19"/>
      <c r="C8" s="20"/>
      <c r="D8" s="19"/>
      <c r="E8" s="19" t="s">
        <v>106</v>
      </c>
      <c r="F8" s="20">
        <v>1</v>
      </c>
      <c r="G8" s="21">
        <v>208.375</v>
      </c>
      <c r="H8" s="18"/>
      <c r="I8" s="18"/>
      <c r="J8" s="18"/>
      <c r="K8" s="18"/>
      <c r="M8" s="12" t="s">
        <v>16</v>
      </c>
    </row>
    <row r="9" spans="1:13" x14ac:dyDescent="0.25">
      <c r="A9" s="18"/>
      <c r="B9" s="19"/>
      <c r="C9" s="20"/>
      <c r="D9" s="19"/>
      <c r="E9" s="19" t="s">
        <v>106</v>
      </c>
      <c r="F9" s="20">
        <v>1</v>
      </c>
      <c r="G9" s="21">
        <v>201.875</v>
      </c>
      <c r="H9" s="18"/>
      <c r="I9" s="18"/>
      <c r="J9" s="18"/>
      <c r="K9" s="18"/>
      <c r="M9" s="12" t="s">
        <v>82</v>
      </c>
    </row>
    <row r="10" spans="1:13" x14ac:dyDescent="0.25">
      <c r="A10" s="18"/>
      <c r="B10" s="19"/>
      <c r="C10" s="20"/>
      <c r="D10" s="19"/>
      <c r="E10" s="19" t="s">
        <v>106</v>
      </c>
      <c r="F10" s="20">
        <v>1</v>
      </c>
      <c r="G10" s="21">
        <v>175.75</v>
      </c>
      <c r="H10" s="18"/>
      <c r="I10" s="18"/>
      <c r="J10" s="18"/>
      <c r="K10" s="18"/>
      <c r="L10" s="12"/>
      <c r="M10" s="12" t="s">
        <v>91</v>
      </c>
    </row>
    <row r="11" spans="1:13" x14ac:dyDescent="0.25">
      <c r="A11" s="18"/>
      <c r="B11" s="19"/>
      <c r="C11" s="20"/>
      <c r="D11" s="19"/>
      <c r="E11" s="19" t="s">
        <v>106</v>
      </c>
      <c r="F11" s="20">
        <v>1</v>
      </c>
      <c r="G11" s="21">
        <v>175.75</v>
      </c>
      <c r="H11" s="18"/>
      <c r="I11" s="18"/>
      <c r="J11" s="18"/>
      <c r="K11" s="18"/>
      <c r="L11" s="12"/>
      <c r="M11" s="12" t="s">
        <v>92</v>
      </c>
    </row>
    <row r="12" spans="1:13" x14ac:dyDescent="0.25">
      <c r="A12" s="18"/>
      <c r="B12" s="19"/>
      <c r="C12" s="20"/>
      <c r="D12" s="19"/>
      <c r="E12" s="19" t="s">
        <v>106</v>
      </c>
      <c r="F12" s="20">
        <v>1</v>
      </c>
      <c r="G12" s="21">
        <v>133.375</v>
      </c>
      <c r="H12" s="18"/>
      <c r="I12" s="18"/>
      <c r="J12" s="18"/>
      <c r="K12" s="18"/>
      <c r="M12" s="12" t="s">
        <v>101</v>
      </c>
    </row>
    <row r="13" spans="1:13" x14ac:dyDescent="0.25">
      <c r="A13" s="18"/>
      <c r="B13" s="19"/>
      <c r="C13" s="20"/>
      <c r="D13" s="19"/>
      <c r="E13" s="19" t="s">
        <v>106</v>
      </c>
      <c r="F13" s="20">
        <v>1</v>
      </c>
      <c r="G13" s="21">
        <v>228</v>
      </c>
      <c r="H13" s="18"/>
      <c r="I13" s="18"/>
      <c r="J13" s="18"/>
      <c r="K13" s="18"/>
    </row>
    <row r="14" spans="1:13" x14ac:dyDescent="0.25">
      <c r="A14" s="18"/>
      <c r="B14" s="19"/>
      <c r="C14" s="20"/>
      <c r="D14" s="19"/>
      <c r="E14" s="19" t="s">
        <v>106</v>
      </c>
      <c r="F14" s="20">
        <v>1</v>
      </c>
      <c r="G14" s="21">
        <v>122.75</v>
      </c>
      <c r="H14" s="18"/>
      <c r="I14" s="18"/>
      <c r="J14" s="18"/>
      <c r="K14" s="18"/>
    </row>
    <row r="15" spans="1:13" x14ac:dyDescent="0.25">
      <c r="A15" s="18"/>
      <c r="B15" s="19"/>
      <c r="C15" s="20"/>
      <c r="D15" s="19"/>
      <c r="E15" s="19" t="s">
        <v>106</v>
      </c>
      <c r="F15" s="20">
        <v>1</v>
      </c>
      <c r="G15" s="21">
        <v>121.125</v>
      </c>
      <c r="H15" s="18"/>
      <c r="I15" s="18"/>
      <c r="J15" s="18"/>
      <c r="K15" s="18"/>
    </row>
    <row r="16" spans="1:13" x14ac:dyDescent="0.25">
      <c r="A16" s="18"/>
      <c r="B16" s="19"/>
      <c r="C16" s="20"/>
      <c r="D16" s="19"/>
      <c r="E16" s="19" t="s">
        <v>106</v>
      </c>
      <c r="F16" s="20">
        <v>1</v>
      </c>
      <c r="G16" s="21">
        <f>246+0</f>
        <v>246</v>
      </c>
      <c r="H16" s="18"/>
      <c r="I16" s="18"/>
      <c r="J16" s="18"/>
      <c r="K16" s="18"/>
      <c r="L16" s="13"/>
    </row>
    <row r="17" spans="1:11" x14ac:dyDescent="0.25">
      <c r="A17" s="18"/>
      <c r="B17" s="19"/>
      <c r="C17" s="20"/>
      <c r="D17" s="19"/>
      <c r="E17" s="19" t="s">
        <v>106</v>
      </c>
      <c r="F17" s="20">
        <v>1</v>
      </c>
      <c r="G17" s="21">
        <v>160.25</v>
      </c>
      <c r="H17" s="18"/>
      <c r="I17" s="18"/>
      <c r="J17" s="18"/>
      <c r="K17" s="18"/>
    </row>
    <row r="18" spans="1:11" x14ac:dyDescent="0.25">
      <c r="A18" s="18"/>
      <c r="B18" s="19"/>
      <c r="C18" s="20"/>
      <c r="D18" s="19"/>
      <c r="E18" s="19" t="s">
        <v>106</v>
      </c>
      <c r="F18" s="20">
        <v>1</v>
      </c>
      <c r="G18" s="21">
        <v>63.125</v>
      </c>
      <c r="H18" s="18"/>
      <c r="I18" s="18"/>
      <c r="J18" s="18"/>
      <c r="K18" s="18"/>
    </row>
    <row r="19" spans="1:11" x14ac:dyDescent="0.25">
      <c r="A19" s="18"/>
      <c r="B19" s="19"/>
      <c r="C19" s="20"/>
      <c r="D19" s="19"/>
      <c r="E19" s="19" t="s">
        <v>106</v>
      </c>
      <c r="F19" s="20">
        <v>1</v>
      </c>
      <c r="G19" s="21">
        <v>8</v>
      </c>
      <c r="H19" s="18"/>
      <c r="I19" s="18"/>
      <c r="J19" s="18"/>
      <c r="K19" s="18"/>
    </row>
    <row r="20" spans="1:11" x14ac:dyDescent="0.25">
      <c r="A20" s="18"/>
      <c r="B20" s="19">
        <v>1289930</v>
      </c>
      <c r="C20" s="20" t="s">
        <v>158</v>
      </c>
      <c r="D20" s="19"/>
      <c r="E20" s="19" t="s">
        <v>117</v>
      </c>
      <c r="F20" s="20">
        <v>2</v>
      </c>
      <c r="G20" s="21">
        <v>136.625</v>
      </c>
      <c r="H20" s="18"/>
      <c r="I20" s="18"/>
      <c r="J20" s="18"/>
      <c r="K20" s="18"/>
    </row>
    <row r="21" spans="1:11" x14ac:dyDescent="0.25">
      <c r="A21" s="18"/>
      <c r="B21" s="19">
        <v>1289931</v>
      </c>
      <c r="C21" s="20" t="s">
        <v>158</v>
      </c>
      <c r="D21" s="19"/>
      <c r="E21" s="19" t="s">
        <v>117</v>
      </c>
      <c r="F21" s="20">
        <v>2</v>
      </c>
      <c r="G21" s="21">
        <v>128.75</v>
      </c>
      <c r="H21" s="18"/>
      <c r="I21" s="18"/>
      <c r="J21" s="18"/>
      <c r="K21" s="18"/>
    </row>
    <row r="22" spans="1:11" x14ac:dyDescent="0.25">
      <c r="A22" s="18"/>
      <c r="B22" s="19">
        <v>1289932</v>
      </c>
      <c r="C22" s="20" t="s">
        <v>158</v>
      </c>
      <c r="D22" s="19"/>
      <c r="E22" s="19" t="s">
        <v>117</v>
      </c>
      <c r="F22" s="20">
        <v>2</v>
      </c>
      <c r="G22" s="21">
        <v>191.125</v>
      </c>
      <c r="H22" s="18"/>
      <c r="I22" s="18"/>
      <c r="J22" s="18"/>
      <c r="K22" s="18"/>
    </row>
    <row r="23" spans="1:11" x14ac:dyDescent="0.25">
      <c r="A23" s="18"/>
      <c r="B23" s="19"/>
      <c r="C23" s="20"/>
      <c r="D23" s="19"/>
      <c r="E23" s="19" t="s">
        <v>87</v>
      </c>
      <c r="F23" s="20">
        <v>11</v>
      </c>
      <c r="G23" s="21">
        <v>203</v>
      </c>
      <c r="H23" s="18"/>
      <c r="I23" s="18"/>
      <c r="J23" s="18"/>
      <c r="K23" s="18"/>
    </row>
    <row r="24" spans="1:11" x14ac:dyDescent="0.25">
      <c r="A24" s="18"/>
      <c r="B24" s="19"/>
      <c r="C24" s="20"/>
      <c r="D24" s="19"/>
      <c r="E24" s="19" t="s">
        <v>87</v>
      </c>
      <c r="F24" s="20">
        <v>2</v>
      </c>
      <c r="G24" s="21">
        <v>129.75</v>
      </c>
      <c r="H24" s="18"/>
      <c r="I24" s="18"/>
      <c r="J24" s="18"/>
      <c r="K24" s="18"/>
    </row>
    <row r="25" spans="1:11" x14ac:dyDescent="0.25">
      <c r="A25" s="18"/>
      <c r="B25" s="19"/>
      <c r="C25" s="20"/>
      <c r="D25" s="19"/>
      <c r="E25" s="19" t="s">
        <v>87</v>
      </c>
      <c r="F25" s="20">
        <v>1</v>
      </c>
      <c r="G25" s="21">
        <v>79.5</v>
      </c>
      <c r="H25" s="18"/>
      <c r="I25" s="18"/>
      <c r="J25" s="18"/>
      <c r="K25" s="18"/>
    </row>
    <row r="26" spans="1:11" x14ac:dyDescent="0.25">
      <c r="A26" s="18"/>
      <c r="B26" s="19" t="s">
        <v>59</v>
      </c>
      <c r="C26" s="20"/>
      <c r="D26" s="19"/>
      <c r="E26" s="19" t="s">
        <v>87</v>
      </c>
      <c r="F26" s="20">
        <v>4</v>
      </c>
      <c r="G26" s="21">
        <v>72.25</v>
      </c>
      <c r="H26" s="18"/>
      <c r="I26" s="18"/>
      <c r="J26" s="18"/>
      <c r="K26" s="18"/>
    </row>
    <row r="27" spans="1:11" x14ac:dyDescent="0.25">
      <c r="A27" s="18"/>
      <c r="B27" s="19" t="s">
        <v>59</v>
      </c>
      <c r="C27" s="20"/>
      <c r="D27" s="19"/>
      <c r="E27" s="19" t="s">
        <v>87</v>
      </c>
      <c r="F27" s="20">
        <v>2</v>
      </c>
      <c r="G27" s="21">
        <v>61</v>
      </c>
      <c r="H27" s="18"/>
      <c r="I27" s="18"/>
      <c r="J27" s="18"/>
      <c r="K27" s="18"/>
    </row>
    <row r="28" spans="1:11" x14ac:dyDescent="0.25">
      <c r="A28" s="18"/>
      <c r="B28" s="19" t="s">
        <v>59</v>
      </c>
      <c r="C28" s="20"/>
      <c r="D28" s="19"/>
      <c r="E28" s="19" t="s">
        <v>87</v>
      </c>
      <c r="F28" s="20">
        <v>2</v>
      </c>
      <c r="G28" s="21">
        <v>54</v>
      </c>
      <c r="H28" s="18"/>
      <c r="I28" s="18"/>
      <c r="J28" s="18"/>
      <c r="K28" s="18"/>
    </row>
    <row r="29" spans="1:11" x14ac:dyDescent="0.25">
      <c r="A29" s="18"/>
      <c r="B29" s="19"/>
      <c r="C29" s="20"/>
      <c r="D29" s="19"/>
      <c r="E29" s="19" t="s">
        <v>87</v>
      </c>
      <c r="F29" s="20">
        <v>2</v>
      </c>
      <c r="G29" s="21">
        <v>52</v>
      </c>
      <c r="H29" s="18"/>
      <c r="I29" s="18"/>
      <c r="J29" s="18"/>
      <c r="K29" s="18"/>
    </row>
    <row r="30" spans="1:11" x14ac:dyDescent="0.25">
      <c r="A30" s="18"/>
      <c r="B30" s="19">
        <v>1289956</v>
      </c>
      <c r="C30" s="20"/>
      <c r="D30" s="19"/>
      <c r="E30" s="19" t="s">
        <v>87</v>
      </c>
      <c r="F30" s="20">
        <v>7</v>
      </c>
      <c r="G30" s="21">
        <v>203</v>
      </c>
      <c r="H30" s="18"/>
      <c r="I30" s="18"/>
      <c r="J30" s="18"/>
      <c r="K30" s="18"/>
    </row>
    <row r="31" spans="1:11" x14ac:dyDescent="0.25">
      <c r="A31" s="18"/>
      <c r="B31" s="19">
        <v>1290112</v>
      </c>
      <c r="C31" s="20"/>
      <c r="D31" s="19"/>
      <c r="E31" s="19" t="s">
        <v>87</v>
      </c>
      <c r="F31" s="20">
        <v>4</v>
      </c>
      <c r="G31" s="21">
        <v>163</v>
      </c>
      <c r="H31" s="18"/>
      <c r="I31" s="18"/>
      <c r="J31" s="18"/>
      <c r="K31" s="18"/>
    </row>
    <row r="32" spans="1:11" x14ac:dyDescent="0.25">
      <c r="A32" s="18"/>
      <c r="B32" s="19">
        <v>1289930</v>
      </c>
      <c r="C32" s="20"/>
      <c r="D32" s="19"/>
      <c r="E32" s="19" t="s">
        <v>87</v>
      </c>
      <c r="F32" s="20">
        <v>5</v>
      </c>
      <c r="G32" s="21">
        <v>75.25</v>
      </c>
      <c r="H32" s="18"/>
      <c r="I32" s="18"/>
      <c r="J32" s="18"/>
      <c r="K32" s="18"/>
    </row>
    <row r="33" spans="1:11" x14ac:dyDescent="0.25">
      <c r="A33" s="18"/>
      <c r="B33" s="19">
        <v>1289931</v>
      </c>
      <c r="C33" s="20"/>
      <c r="D33" s="19"/>
      <c r="E33" s="19" t="s">
        <v>87</v>
      </c>
      <c r="F33" s="20">
        <v>5</v>
      </c>
      <c r="G33" s="21">
        <v>73</v>
      </c>
      <c r="H33" s="18"/>
      <c r="I33" s="18"/>
      <c r="J33" s="18"/>
      <c r="K33" s="18"/>
    </row>
    <row r="34" spans="1:11" x14ac:dyDescent="0.25">
      <c r="A34" s="18"/>
      <c r="B34" s="19">
        <v>1289932</v>
      </c>
      <c r="C34" s="20"/>
      <c r="D34" s="19"/>
      <c r="E34" s="19" t="s">
        <v>87</v>
      </c>
      <c r="F34" s="20">
        <v>5</v>
      </c>
      <c r="G34" s="21">
        <v>72.75</v>
      </c>
      <c r="H34" s="18"/>
      <c r="I34" s="18"/>
      <c r="J34" s="18"/>
      <c r="K34" s="18"/>
    </row>
    <row r="35" spans="1:11" x14ac:dyDescent="0.25">
      <c r="A35" s="18"/>
      <c r="B35" s="19">
        <v>1289959</v>
      </c>
      <c r="C35" s="20"/>
      <c r="D35" s="19"/>
      <c r="E35" s="19" t="s">
        <v>87</v>
      </c>
      <c r="F35" s="20">
        <v>6</v>
      </c>
      <c r="G35" s="21">
        <v>70.25</v>
      </c>
      <c r="H35" s="18"/>
      <c r="I35" s="18"/>
      <c r="J35" s="18"/>
      <c r="K35" s="18"/>
    </row>
    <row r="36" spans="1:11" x14ac:dyDescent="0.25">
      <c r="A36" s="18"/>
      <c r="B36" s="19">
        <v>1289960</v>
      </c>
      <c r="C36" s="20"/>
      <c r="D36" s="19"/>
      <c r="E36" s="19" t="s">
        <v>87</v>
      </c>
      <c r="F36" s="20">
        <v>1</v>
      </c>
      <c r="G36" s="21">
        <v>65.5</v>
      </c>
      <c r="H36" s="18"/>
      <c r="I36" s="18"/>
      <c r="J36" s="18"/>
      <c r="K36" s="18"/>
    </row>
    <row r="37" spans="1:11" x14ac:dyDescent="0.25">
      <c r="A37" s="18"/>
      <c r="B37" s="19">
        <v>1061955</v>
      </c>
      <c r="C37" s="20"/>
      <c r="D37" s="19"/>
      <c r="E37" s="19" t="s">
        <v>87</v>
      </c>
      <c r="F37" s="20">
        <v>1</v>
      </c>
      <c r="G37" s="21">
        <v>59.5</v>
      </c>
      <c r="H37" s="18"/>
      <c r="I37" s="18"/>
      <c r="J37" s="18"/>
      <c r="K37" s="18"/>
    </row>
    <row r="38" spans="1:11" x14ac:dyDescent="0.25">
      <c r="A38" s="18"/>
      <c r="B38" s="19">
        <v>1061956</v>
      </c>
      <c r="C38" s="20"/>
      <c r="D38" s="19"/>
      <c r="E38" s="19" t="s">
        <v>87</v>
      </c>
      <c r="F38" s="20">
        <v>2</v>
      </c>
      <c r="G38" s="21">
        <v>35</v>
      </c>
      <c r="H38" s="18"/>
      <c r="I38" s="18"/>
      <c r="J38" s="18"/>
      <c r="K38" s="18"/>
    </row>
    <row r="39" spans="1:11" x14ac:dyDescent="0.25">
      <c r="A39" s="18"/>
      <c r="B39" s="19"/>
      <c r="C39" s="20"/>
      <c r="D39" s="19"/>
      <c r="E39" s="19" t="s">
        <v>87</v>
      </c>
      <c r="F39" s="20">
        <v>2</v>
      </c>
      <c r="G39" s="21">
        <v>203</v>
      </c>
      <c r="H39" s="18"/>
      <c r="I39" s="18"/>
      <c r="J39" s="18"/>
      <c r="K39" s="18"/>
    </row>
    <row r="40" spans="1:11" x14ac:dyDescent="0.25">
      <c r="A40" s="18"/>
      <c r="B40" s="19"/>
      <c r="C40" s="20"/>
      <c r="D40" s="19"/>
      <c r="E40" s="19" t="s">
        <v>87</v>
      </c>
      <c r="F40" s="20">
        <v>4</v>
      </c>
      <c r="G40" s="21">
        <v>112</v>
      </c>
      <c r="H40" s="18"/>
      <c r="I40" s="18"/>
      <c r="J40" s="18"/>
      <c r="K40" s="18"/>
    </row>
    <row r="41" spans="1:11" x14ac:dyDescent="0.25">
      <c r="A41" s="18"/>
      <c r="B41" s="19"/>
      <c r="C41" s="20"/>
      <c r="D41" s="19"/>
      <c r="E41" s="19" t="s">
        <v>87</v>
      </c>
      <c r="F41" s="20">
        <v>4</v>
      </c>
      <c r="G41" s="21">
        <v>92.5</v>
      </c>
      <c r="H41" s="18"/>
      <c r="I41" s="18"/>
      <c r="J41" s="18"/>
      <c r="K41" s="18"/>
    </row>
    <row r="42" spans="1:11" x14ac:dyDescent="0.25">
      <c r="A42" s="18"/>
      <c r="B42" s="19"/>
      <c r="C42" s="20"/>
      <c r="D42" s="19"/>
      <c r="E42" s="19" t="s">
        <v>87</v>
      </c>
      <c r="F42" s="20">
        <v>4</v>
      </c>
      <c r="G42" s="21">
        <v>72</v>
      </c>
      <c r="H42" s="18"/>
      <c r="I42" s="18"/>
      <c r="J42" s="18"/>
      <c r="K42" s="18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ESTING">
                <anchor moveWithCells="1" sizeWithCells="1">
                  <from>
                    <xdr:col>12</xdr:col>
                    <xdr:colOff>0</xdr:colOff>
                    <xdr:row>2</xdr:row>
                    <xdr:rowOff>180975</xdr:rowOff>
                  </from>
                  <to>
                    <xdr:col>12</xdr:col>
                    <xdr:colOff>3200400</xdr:colOff>
                    <xdr:row>3</xdr:row>
                    <xdr:rowOff>476250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FD1AC9-BBE2-4A94-8C11-CD6AE142A4AF}">
  <sheetPr codeName="Sheet15"/>
  <dimension ref="A1:H40"/>
  <sheetViews>
    <sheetView workbookViewId="0">
      <selection activeCell="F12" sqref="F12"/>
    </sheetView>
  </sheetViews>
  <sheetFormatPr defaultRowHeight="15" x14ac:dyDescent="0.25"/>
  <cols>
    <col min="1" max="1" width="20.140625" bestFit="1" customWidth="1"/>
    <col min="2" max="2" width="14.7109375" bestFit="1" customWidth="1"/>
    <col min="3" max="3" width="9.7109375" bestFit="1" customWidth="1"/>
    <col min="4" max="4" width="6.42578125" bestFit="1" customWidth="1"/>
    <col min="5" max="5" width="4.42578125" bestFit="1" customWidth="1"/>
    <col min="6" max="6" width="46.140625" bestFit="1" customWidth="1"/>
    <col min="7" max="7" width="9.7109375" bestFit="1" customWidth="1"/>
    <col min="8" max="8" width="14.42578125" bestFit="1" customWidth="1"/>
  </cols>
  <sheetData>
    <row r="1" spans="1:6" x14ac:dyDescent="0.25">
      <c r="A1" s="22" t="s">
        <v>71</v>
      </c>
      <c r="B1" s="22" t="s">
        <v>72</v>
      </c>
      <c r="C1" s="22" t="s">
        <v>73</v>
      </c>
      <c r="D1" s="22" t="s">
        <v>74</v>
      </c>
      <c r="E1" s="22" t="s">
        <v>75</v>
      </c>
      <c r="F1" s="22" t="s">
        <v>76</v>
      </c>
    </row>
    <row r="2" spans="1:6" x14ac:dyDescent="0.25">
      <c r="A2" s="22" t="s">
        <v>63</v>
      </c>
      <c r="B2" s="22">
        <v>480</v>
      </c>
      <c r="C2" s="22" t="s">
        <v>17</v>
      </c>
      <c r="D2" s="22">
        <v>40</v>
      </c>
      <c r="E2" s="22" t="s">
        <v>19</v>
      </c>
      <c r="F2" s="22" t="s">
        <v>18</v>
      </c>
    </row>
    <row r="3" spans="1:6" x14ac:dyDescent="0.25">
      <c r="A3" s="22" t="s">
        <v>88</v>
      </c>
      <c r="B3" s="22">
        <v>600</v>
      </c>
      <c r="C3" s="22" t="s">
        <v>20</v>
      </c>
      <c r="D3" s="22">
        <v>50</v>
      </c>
      <c r="E3" s="22" t="s">
        <v>19</v>
      </c>
      <c r="F3" s="22" t="s">
        <v>21</v>
      </c>
    </row>
    <row r="4" spans="1:6" x14ac:dyDescent="0.25">
      <c r="A4" s="22" t="s">
        <v>89</v>
      </c>
      <c r="B4" s="22">
        <v>480</v>
      </c>
      <c r="C4" s="22" t="s">
        <v>22</v>
      </c>
      <c r="D4" s="22">
        <v>40</v>
      </c>
      <c r="E4" s="22" t="s">
        <v>19</v>
      </c>
      <c r="F4" s="22" t="s">
        <v>23</v>
      </c>
    </row>
    <row r="5" spans="1:6" x14ac:dyDescent="0.25">
      <c r="A5" s="22" t="s">
        <v>87</v>
      </c>
      <c r="B5" s="22">
        <v>600</v>
      </c>
      <c r="C5" s="22" t="s">
        <v>24</v>
      </c>
      <c r="D5" s="22">
        <v>50</v>
      </c>
      <c r="E5" s="22" t="s">
        <v>19</v>
      </c>
      <c r="F5" s="22" t="s">
        <v>25</v>
      </c>
    </row>
    <row r="6" spans="1:6" x14ac:dyDescent="0.25">
      <c r="A6" s="22" t="s">
        <v>86</v>
      </c>
      <c r="B6" s="22">
        <v>720</v>
      </c>
      <c r="C6" s="22" t="s">
        <v>14</v>
      </c>
      <c r="D6" s="22">
        <v>60</v>
      </c>
      <c r="E6" s="22" t="s">
        <v>19</v>
      </c>
      <c r="F6" s="22" t="s">
        <v>26</v>
      </c>
    </row>
    <row r="7" spans="1:6" x14ac:dyDescent="0.25">
      <c r="A7" s="22" t="s">
        <v>64</v>
      </c>
      <c r="B7" s="22">
        <v>720</v>
      </c>
      <c r="C7" s="22" t="s">
        <v>27</v>
      </c>
      <c r="D7" s="22">
        <v>60</v>
      </c>
      <c r="E7" s="22" t="s">
        <v>19</v>
      </c>
      <c r="F7" s="22" t="s">
        <v>28</v>
      </c>
    </row>
    <row r="8" spans="1:6" x14ac:dyDescent="0.25">
      <c r="A8" s="22" t="s">
        <v>65</v>
      </c>
      <c r="B8" s="22">
        <v>480</v>
      </c>
      <c r="C8" s="22" t="s">
        <v>29</v>
      </c>
      <c r="D8" s="22">
        <v>40</v>
      </c>
      <c r="E8" s="22" t="s">
        <v>19</v>
      </c>
      <c r="F8" s="22" t="s">
        <v>30</v>
      </c>
    </row>
    <row r="9" spans="1:6" x14ac:dyDescent="0.25">
      <c r="A9" s="22" t="s">
        <v>90</v>
      </c>
      <c r="B9" s="22">
        <v>480</v>
      </c>
      <c r="C9" s="22" t="s">
        <v>31</v>
      </c>
      <c r="D9" s="22">
        <v>40</v>
      </c>
      <c r="E9" s="22" t="s">
        <v>19</v>
      </c>
      <c r="F9" s="22" t="s">
        <v>32</v>
      </c>
    </row>
    <row r="10" spans="1:6" x14ac:dyDescent="0.25">
      <c r="A10" s="22" t="s">
        <v>66</v>
      </c>
      <c r="B10" s="22">
        <v>480</v>
      </c>
      <c r="C10" s="22" t="s">
        <v>33</v>
      </c>
      <c r="D10" s="22">
        <v>40</v>
      </c>
      <c r="E10" s="22" t="s">
        <v>19</v>
      </c>
      <c r="F10" s="22" t="s">
        <v>34</v>
      </c>
    </row>
    <row r="11" spans="1:6" x14ac:dyDescent="0.25">
      <c r="A11" s="22" t="s">
        <v>67</v>
      </c>
      <c r="B11" s="22">
        <v>600</v>
      </c>
      <c r="C11" s="22" t="s">
        <v>15</v>
      </c>
      <c r="D11" s="22">
        <v>50</v>
      </c>
      <c r="E11" s="22" t="s">
        <v>19</v>
      </c>
      <c r="F11" s="22" t="s">
        <v>35</v>
      </c>
    </row>
    <row r="12" spans="1:6" x14ac:dyDescent="0.25">
      <c r="A12" s="22" t="s">
        <v>85</v>
      </c>
      <c r="B12" s="22">
        <v>480</v>
      </c>
      <c r="C12" s="22" t="s">
        <v>36</v>
      </c>
      <c r="D12" s="22">
        <v>40</v>
      </c>
      <c r="E12" s="22" t="s">
        <v>19</v>
      </c>
      <c r="F12" s="22" t="s">
        <v>37</v>
      </c>
    </row>
    <row r="13" spans="1:6" x14ac:dyDescent="0.25">
      <c r="A13" s="22" t="s">
        <v>68</v>
      </c>
      <c r="B13" s="22">
        <v>480</v>
      </c>
      <c r="C13" s="22" t="s">
        <v>38</v>
      </c>
      <c r="D13" s="22">
        <v>40</v>
      </c>
      <c r="E13" s="22" t="s">
        <v>19</v>
      </c>
      <c r="F13" s="22" t="s">
        <v>39</v>
      </c>
    </row>
    <row r="14" spans="1:6" x14ac:dyDescent="0.25">
      <c r="A14" s="22" t="s">
        <v>69</v>
      </c>
      <c r="B14" s="22">
        <v>480</v>
      </c>
      <c r="C14" s="22" t="s">
        <v>40</v>
      </c>
      <c r="D14" s="22">
        <v>40</v>
      </c>
      <c r="E14" s="22" t="s">
        <v>19</v>
      </c>
      <c r="F14" s="22" t="s">
        <v>41</v>
      </c>
    </row>
    <row r="15" spans="1:6" x14ac:dyDescent="0.25">
      <c r="A15" s="22" t="s">
        <v>93</v>
      </c>
      <c r="B15" s="22">
        <v>720</v>
      </c>
      <c r="C15" s="22" t="s">
        <v>42</v>
      </c>
      <c r="D15" s="22">
        <v>60</v>
      </c>
      <c r="E15" s="22" t="s">
        <v>19</v>
      </c>
      <c r="F15" s="22" t="s">
        <v>43</v>
      </c>
    </row>
    <row r="16" spans="1:6" x14ac:dyDescent="0.25">
      <c r="A16" s="22" t="s">
        <v>70</v>
      </c>
      <c r="B16" s="22">
        <v>720</v>
      </c>
      <c r="C16" s="22" t="s">
        <v>44</v>
      </c>
      <c r="D16" s="22">
        <v>60</v>
      </c>
      <c r="E16" s="22" t="s">
        <v>19</v>
      </c>
      <c r="F16" s="22" t="s">
        <v>45</v>
      </c>
    </row>
    <row r="17" spans="1:8" x14ac:dyDescent="0.25">
      <c r="A17" s="22" t="s">
        <v>84</v>
      </c>
      <c r="B17" s="22">
        <v>240</v>
      </c>
      <c r="C17" s="22" t="s">
        <v>46</v>
      </c>
      <c r="D17" s="22">
        <v>20</v>
      </c>
      <c r="E17" s="22" t="s">
        <v>19</v>
      </c>
      <c r="F17" s="22" t="s">
        <v>47</v>
      </c>
    </row>
    <row r="18" spans="1:8" x14ac:dyDescent="0.25">
      <c r="A18" s="22" t="s">
        <v>83</v>
      </c>
      <c r="B18" s="22">
        <v>240</v>
      </c>
      <c r="C18" s="22" t="s">
        <v>48</v>
      </c>
      <c r="D18" s="22">
        <v>20</v>
      </c>
      <c r="E18" s="22" t="s">
        <v>19</v>
      </c>
      <c r="F18" s="22" t="s">
        <v>49</v>
      </c>
      <c r="H18" s="15"/>
    </row>
    <row r="19" spans="1:8" x14ac:dyDescent="0.25">
      <c r="A19" s="22" t="s">
        <v>112</v>
      </c>
      <c r="B19" s="22">
        <v>576</v>
      </c>
      <c r="C19" s="22" t="s">
        <v>50</v>
      </c>
      <c r="D19" s="22">
        <v>48</v>
      </c>
      <c r="E19" s="22" t="s">
        <v>19</v>
      </c>
      <c r="F19" s="22" t="s">
        <v>51</v>
      </c>
    </row>
    <row r="20" spans="1:8" x14ac:dyDescent="0.25">
      <c r="A20" s="22" t="s">
        <v>106</v>
      </c>
      <c r="B20" s="22">
        <v>480</v>
      </c>
      <c r="C20" s="22" t="s">
        <v>52</v>
      </c>
      <c r="D20" s="22">
        <v>40</v>
      </c>
      <c r="E20" s="22" t="s">
        <v>19</v>
      </c>
      <c r="F20" s="22" t="s">
        <v>53</v>
      </c>
    </row>
    <row r="21" spans="1:8" x14ac:dyDescent="0.25">
      <c r="A21" s="22" t="s">
        <v>108</v>
      </c>
      <c r="B21" s="22">
        <v>480</v>
      </c>
      <c r="C21" s="22" t="s">
        <v>54</v>
      </c>
      <c r="D21" s="22">
        <v>40</v>
      </c>
      <c r="E21" s="22" t="s">
        <v>19</v>
      </c>
      <c r="F21" s="22" t="s">
        <v>55</v>
      </c>
    </row>
    <row r="22" spans="1:8" x14ac:dyDescent="0.25">
      <c r="A22" s="22" t="s">
        <v>107</v>
      </c>
      <c r="B22" s="22">
        <v>576</v>
      </c>
      <c r="C22" s="22" t="s">
        <v>56</v>
      </c>
      <c r="D22" s="22">
        <v>48</v>
      </c>
      <c r="E22" s="22" t="s">
        <v>19</v>
      </c>
      <c r="F22" s="22" t="s">
        <v>57</v>
      </c>
    </row>
    <row r="23" spans="1:8" x14ac:dyDescent="0.25">
      <c r="A23" s="22" t="s">
        <v>109</v>
      </c>
      <c r="B23" s="22">
        <v>240</v>
      </c>
      <c r="C23" s="22" t="s">
        <v>58</v>
      </c>
      <c r="D23" s="22">
        <v>40</v>
      </c>
      <c r="E23" s="22"/>
      <c r="F23" s="22"/>
    </row>
    <row r="24" spans="1:8" x14ac:dyDescent="0.25">
      <c r="A24" s="22" t="s">
        <v>111</v>
      </c>
      <c r="B24" s="22">
        <v>480</v>
      </c>
      <c r="C24" s="22" t="s">
        <v>61</v>
      </c>
      <c r="D24" s="22">
        <v>20</v>
      </c>
      <c r="E24" s="22" t="s">
        <v>19</v>
      </c>
      <c r="F24" s="22" t="s">
        <v>127</v>
      </c>
    </row>
    <row r="25" spans="1:8" x14ac:dyDescent="0.25">
      <c r="A25" s="22" t="s">
        <v>128</v>
      </c>
      <c r="B25" s="22">
        <v>240</v>
      </c>
      <c r="C25" s="22" t="s">
        <v>129</v>
      </c>
      <c r="D25" s="22">
        <v>40</v>
      </c>
      <c r="E25" s="22" t="s">
        <v>19</v>
      </c>
      <c r="F25" s="22" t="s">
        <v>62</v>
      </c>
    </row>
    <row r="26" spans="1:8" x14ac:dyDescent="0.25">
      <c r="A26" s="22" t="s">
        <v>130</v>
      </c>
      <c r="B26" s="22">
        <v>240</v>
      </c>
      <c r="C26" s="22" t="s">
        <v>131</v>
      </c>
      <c r="D26" s="22">
        <v>20</v>
      </c>
      <c r="E26" s="22" t="s">
        <v>19</v>
      </c>
      <c r="F26" s="22" t="s">
        <v>132</v>
      </c>
    </row>
    <row r="27" spans="1:8" x14ac:dyDescent="0.25">
      <c r="A27" s="22" t="s">
        <v>133</v>
      </c>
      <c r="B27" s="22">
        <v>240</v>
      </c>
      <c r="C27" s="22" t="s">
        <v>134</v>
      </c>
      <c r="D27" s="22">
        <v>20</v>
      </c>
      <c r="E27" s="22" t="s">
        <v>19</v>
      </c>
      <c r="F27" s="22" t="s">
        <v>135</v>
      </c>
    </row>
    <row r="28" spans="1:8" x14ac:dyDescent="0.25">
      <c r="A28" s="22" t="s">
        <v>136</v>
      </c>
      <c r="B28" s="22">
        <v>240</v>
      </c>
      <c r="C28" s="22" t="s">
        <v>137</v>
      </c>
      <c r="D28" s="22">
        <v>20</v>
      </c>
      <c r="E28" s="22" t="s">
        <v>19</v>
      </c>
      <c r="F28" s="22" t="s">
        <v>138</v>
      </c>
    </row>
    <row r="29" spans="1:8" x14ac:dyDescent="0.25">
      <c r="A29" s="22" t="s">
        <v>121</v>
      </c>
      <c r="B29" s="22">
        <v>480</v>
      </c>
      <c r="C29" s="22" t="s">
        <v>139</v>
      </c>
      <c r="D29" s="22">
        <v>20</v>
      </c>
      <c r="E29" s="22" t="s">
        <v>19</v>
      </c>
      <c r="F29" s="22" t="s">
        <v>140</v>
      </c>
    </row>
    <row r="30" spans="1:8" x14ac:dyDescent="0.25">
      <c r="A30" s="22" t="s">
        <v>126</v>
      </c>
      <c r="B30" s="22">
        <v>720</v>
      </c>
      <c r="C30" s="22" t="s">
        <v>141</v>
      </c>
      <c r="D30" s="22">
        <v>20</v>
      </c>
      <c r="E30" s="22" t="s">
        <v>19</v>
      </c>
      <c r="F30" s="22" t="s">
        <v>60</v>
      </c>
    </row>
    <row r="31" spans="1:8" x14ac:dyDescent="0.25">
      <c r="A31" s="22" t="s">
        <v>120</v>
      </c>
      <c r="B31" s="22">
        <v>720</v>
      </c>
      <c r="C31" s="22" t="s">
        <v>142</v>
      </c>
      <c r="D31" s="22">
        <v>40</v>
      </c>
      <c r="E31" s="22" t="s">
        <v>19</v>
      </c>
      <c r="F31" s="22" t="s">
        <v>143</v>
      </c>
    </row>
    <row r="32" spans="1:8" x14ac:dyDescent="0.25">
      <c r="A32" s="22" t="s">
        <v>123</v>
      </c>
      <c r="B32" s="22">
        <v>240</v>
      </c>
      <c r="C32" s="22" t="s">
        <v>144</v>
      </c>
      <c r="D32" s="22">
        <v>40</v>
      </c>
      <c r="E32" s="22" t="s">
        <v>19</v>
      </c>
      <c r="F32" s="22" t="s">
        <v>145</v>
      </c>
    </row>
    <row r="33" spans="1:6" x14ac:dyDescent="0.25">
      <c r="A33" s="22" t="s">
        <v>125</v>
      </c>
      <c r="B33" s="22">
        <v>480</v>
      </c>
      <c r="C33" s="22" t="s">
        <v>146</v>
      </c>
      <c r="D33" s="22"/>
      <c r="E33" s="22"/>
      <c r="F33" s="22"/>
    </row>
    <row r="34" spans="1:6" x14ac:dyDescent="0.25">
      <c r="A34" s="22" t="s">
        <v>124</v>
      </c>
      <c r="B34" s="22">
        <v>480</v>
      </c>
      <c r="C34" s="22" t="s">
        <v>147</v>
      </c>
      <c r="D34" s="22"/>
      <c r="E34" s="22"/>
      <c r="F34" s="22"/>
    </row>
    <row r="35" spans="1:6" x14ac:dyDescent="0.25">
      <c r="A35" s="22" t="s">
        <v>115</v>
      </c>
      <c r="B35" s="22">
        <v>480</v>
      </c>
      <c r="C35" s="22" t="s">
        <v>116</v>
      </c>
      <c r="D35" s="22"/>
      <c r="E35" s="22"/>
      <c r="F35" s="22"/>
    </row>
    <row r="36" spans="1:6" x14ac:dyDescent="0.25">
      <c r="A36" s="22" t="s">
        <v>122</v>
      </c>
      <c r="B36" s="22">
        <v>480</v>
      </c>
      <c r="C36" s="22" t="s">
        <v>148</v>
      </c>
      <c r="D36" s="22"/>
      <c r="E36" s="22"/>
      <c r="F36" s="22"/>
    </row>
    <row r="37" spans="1:6" x14ac:dyDescent="0.25">
      <c r="A37" s="22" t="s">
        <v>117</v>
      </c>
      <c r="B37" s="22">
        <v>480</v>
      </c>
      <c r="C37" s="22" t="s">
        <v>118</v>
      </c>
      <c r="D37" s="22"/>
      <c r="E37" s="22"/>
      <c r="F37" s="22"/>
    </row>
    <row r="38" spans="1:6" x14ac:dyDescent="0.25">
      <c r="A38" s="22" t="s">
        <v>110</v>
      </c>
      <c r="B38" s="22">
        <v>240</v>
      </c>
      <c r="C38" s="22" t="s">
        <v>59</v>
      </c>
      <c r="D38" s="22"/>
      <c r="E38" s="22"/>
      <c r="F38" s="22"/>
    </row>
    <row r="39" spans="1:6" x14ac:dyDescent="0.25">
      <c r="A39" s="22" t="s">
        <v>149</v>
      </c>
      <c r="B39" s="22">
        <v>480</v>
      </c>
      <c r="C39" s="22" t="s">
        <v>150</v>
      </c>
      <c r="D39" s="22"/>
      <c r="E39" s="22"/>
      <c r="F39" s="22"/>
    </row>
    <row r="40" spans="1:6" x14ac:dyDescent="0.25">
      <c r="A40" s="22" t="s">
        <v>151</v>
      </c>
      <c r="B40" s="22">
        <v>480</v>
      </c>
      <c r="C40" s="22" t="s">
        <v>152</v>
      </c>
      <c r="D40" s="22"/>
      <c r="E40" s="22"/>
      <c r="F40" s="22"/>
    </row>
  </sheetData>
  <conditionalFormatting sqref="C1">
    <cfRule type="duplicateValues" dxfId="4" priority="4"/>
  </conditionalFormatting>
  <conditionalFormatting sqref="C30:C40 C2:C18 C22:C28">
    <cfRule type="duplicateValues" dxfId="3" priority="3"/>
  </conditionalFormatting>
  <conditionalFormatting sqref="C19">
    <cfRule type="duplicateValues" dxfId="2" priority="2"/>
  </conditionalFormatting>
  <conditionalFormatting sqref="C20:C21">
    <cfRule type="duplicateValues" dxfId="1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EB6D6-8198-4166-B99D-B06C32BBE643}">
  <sheetPr codeName="Sheet6"/>
  <dimension ref="A1:F4"/>
  <sheetViews>
    <sheetView workbookViewId="0"/>
  </sheetViews>
  <sheetFormatPr defaultRowHeight="15" x14ac:dyDescent="0.25"/>
  <cols>
    <col min="1" max="1" width="23.7109375" customWidth="1"/>
    <col min="2" max="2" width="30.5703125" customWidth="1"/>
    <col min="3" max="3" width="7.5703125" customWidth="1"/>
    <col min="4" max="4" width="33.28515625" customWidth="1"/>
    <col min="5" max="5" width="27.42578125" customWidth="1"/>
    <col min="6" max="6" width="22.42578125" customWidth="1"/>
  </cols>
  <sheetData>
    <row r="1" spans="1:6" ht="21" x14ac:dyDescent="0.35">
      <c r="A1" s="16" t="s">
        <v>94</v>
      </c>
      <c r="B1" s="16" t="s">
        <v>95</v>
      </c>
      <c r="C1" s="16" t="s">
        <v>102</v>
      </c>
      <c r="D1" s="16" t="s">
        <v>103</v>
      </c>
      <c r="E1" s="16" t="s">
        <v>105</v>
      </c>
      <c r="F1" s="16" t="s">
        <v>104</v>
      </c>
    </row>
    <row r="2" spans="1:6" x14ac:dyDescent="0.25">
      <c r="A2" t="s">
        <v>106</v>
      </c>
      <c r="B2" t="s">
        <v>52</v>
      </c>
      <c r="C2">
        <v>5</v>
      </c>
      <c r="D2">
        <v>480</v>
      </c>
      <c r="E2">
        <v>40</v>
      </c>
      <c r="F2">
        <v>200</v>
      </c>
    </row>
    <row r="3" spans="1:6" x14ac:dyDescent="0.25">
      <c r="A3" t="s">
        <v>117</v>
      </c>
      <c r="B3" t="s">
        <v>118</v>
      </c>
      <c r="C3">
        <v>3</v>
      </c>
      <c r="D3">
        <v>480</v>
      </c>
      <c r="E3">
        <v>40</v>
      </c>
      <c r="F3">
        <v>120</v>
      </c>
    </row>
    <row r="4" spans="1:6" x14ac:dyDescent="0.25">
      <c r="A4" t="s">
        <v>87</v>
      </c>
      <c r="B4" t="s">
        <v>24</v>
      </c>
      <c r="C4">
        <v>15</v>
      </c>
      <c r="D4">
        <v>600</v>
      </c>
      <c r="E4">
        <v>50</v>
      </c>
      <c r="F4">
        <v>750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9F558-3763-4603-B1D8-6454C23C2131}">
  <sheetPr codeName="Sheet7"/>
  <dimension ref="A1:N27"/>
  <sheetViews>
    <sheetView workbookViewId="0"/>
  </sheetViews>
  <sheetFormatPr defaultRowHeight="15" x14ac:dyDescent="0.25"/>
  <cols>
    <col min="1" max="1" width="18.140625" bestFit="1" customWidth="1"/>
    <col min="2" max="2" width="15" bestFit="1" customWidth="1"/>
    <col min="3" max="3" width="17.85546875" bestFit="1" customWidth="1"/>
    <col min="4" max="12" width="13.7109375" bestFit="1" customWidth="1"/>
    <col min="13" max="13" width="17.7109375" bestFit="1" customWidth="1"/>
    <col min="14" max="14" width="13.85546875" bestFit="1" customWidth="1"/>
  </cols>
  <sheetData>
    <row r="1" spans="1:14" x14ac:dyDescent="0.25">
      <c r="A1" t="s">
        <v>94</v>
      </c>
      <c r="B1" t="s">
        <v>97</v>
      </c>
      <c r="C1" t="s">
        <v>96</v>
      </c>
      <c r="D1" t="s">
        <v>98</v>
      </c>
      <c r="E1" t="s">
        <v>99</v>
      </c>
      <c r="F1" t="s">
        <v>100</v>
      </c>
      <c r="G1" t="s">
        <v>119</v>
      </c>
      <c r="H1" t="s">
        <v>153</v>
      </c>
      <c r="I1" t="s">
        <v>154</v>
      </c>
      <c r="J1" t="s">
        <v>155</v>
      </c>
      <c r="K1" t="s">
        <v>156</v>
      </c>
      <c r="L1" t="s">
        <v>157</v>
      </c>
      <c r="M1" t="s">
        <v>113</v>
      </c>
      <c r="N1" t="s">
        <v>114</v>
      </c>
    </row>
    <row r="2" spans="1:14" x14ac:dyDescent="0.25">
      <c r="A2" t="s">
        <v>106</v>
      </c>
      <c r="B2" t="s">
        <v>52</v>
      </c>
      <c r="C2">
        <v>480</v>
      </c>
      <c r="D2">
        <v>246</v>
      </c>
      <c r="E2">
        <v>228</v>
      </c>
      <c r="M2">
        <v>474</v>
      </c>
      <c r="N2">
        <v>6</v>
      </c>
    </row>
    <row r="3" spans="1:14" x14ac:dyDescent="0.25">
      <c r="A3" t="s">
        <v>106</v>
      </c>
      <c r="B3" t="s">
        <v>52</v>
      </c>
      <c r="C3">
        <v>480</v>
      </c>
      <c r="D3">
        <v>208.375</v>
      </c>
      <c r="E3">
        <v>208.375</v>
      </c>
      <c r="F3">
        <v>8</v>
      </c>
      <c r="M3">
        <v>424.75</v>
      </c>
      <c r="N3">
        <v>55.25</v>
      </c>
    </row>
    <row r="4" spans="1:14" x14ac:dyDescent="0.25">
      <c r="A4" t="s">
        <v>106</v>
      </c>
      <c r="B4" t="s">
        <v>52</v>
      </c>
      <c r="C4">
        <v>480</v>
      </c>
      <c r="D4">
        <v>201.875</v>
      </c>
      <c r="E4">
        <v>175.75</v>
      </c>
      <c r="F4">
        <v>77.125</v>
      </c>
      <c r="M4">
        <v>454.75</v>
      </c>
      <c r="N4">
        <v>25.25</v>
      </c>
    </row>
    <row r="5" spans="1:14" x14ac:dyDescent="0.25">
      <c r="A5" t="s">
        <v>106</v>
      </c>
      <c r="B5" t="s">
        <v>52</v>
      </c>
      <c r="C5">
        <v>480</v>
      </c>
      <c r="D5">
        <v>175.75</v>
      </c>
      <c r="E5">
        <v>175.75</v>
      </c>
      <c r="F5">
        <v>122.75</v>
      </c>
      <c r="M5">
        <v>474.25</v>
      </c>
      <c r="N5">
        <v>5.75</v>
      </c>
    </row>
    <row r="6" spans="1:14" x14ac:dyDescent="0.25">
      <c r="A6" t="s">
        <v>106</v>
      </c>
      <c r="B6" t="s">
        <v>52</v>
      </c>
      <c r="C6">
        <v>480</v>
      </c>
      <c r="D6">
        <v>160.25</v>
      </c>
      <c r="E6">
        <v>133.375</v>
      </c>
      <c r="F6">
        <v>121.125</v>
      </c>
      <c r="G6">
        <v>63.125</v>
      </c>
      <c r="M6">
        <v>477.875</v>
      </c>
      <c r="N6">
        <v>2.125</v>
      </c>
    </row>
    <row r="7" spans="1:14" x14ac:dyDescent="0.25">
      <c r="A7" t="s">
        <v>117</v>
      </c>
      <c r="B7" t="s">
        <v>118</v>
      </c>
      <c r="C7">
        <v>480</v>
      </c>
      <c r="D7">
        <v>191.125</v>
      </c>
      <c r="E7">
        <v>191.125</v>
      </c>
      <c r="M7">
        <v>382.25</v>
      </c>
      <c r="N7">
        <v>97.75</v>
      </c>
    </row>
    <row r="8" spans="1:14" x14ac:dyDescent="0.25">
      <c r="A8" t="s">
        <v>117</v>
      </c>
      <c r="B8" t="s">
        <v>118</v>
      </c>
      <c r="C8">
        <v>480</v>
      </c>
      <c r="D8">
        <v>136.625</v>
      </c>
      <c r="E8">
        <v>136.625</v>
      </c>
      <c r="F8">
        <v>128.75</v>
      </c>
      <c r="M8">
        <v>402</v>
      </c>
      <c r="N8">
        <v>78</v>
      </c>
    </row>
    <row r="9" spans="1:14" x14ac:dyDescent="0.25">
      <c r="A9" t="s">
        <v>117</v>
      </c>
      <c r="B9" t="s">
        <v>118</v>
      </c>
      <c r="C9">
        <v>480</v>
      </c>
      <c r="D9">
        <v>128.75</v>
      </c>
      <c r="M9">
        <v>128.75</v>
      </c>
      <c r="N9">
        <v>351.25</v>
      </c>
    </row>
    <row r="10" spans="1:14" x14ac:dyDescent="0.25">
      <c r="A10" t="s">
        <v>87</v>
      </c>
      <c r="B10" t="s">
        <v>24</v>
      </c>
      <c r="C10">
        <v>600</v>
      </c>
      <c r="D10">
        <v>203</v>
      </c>
      <c r="E10">
        <v>203</v>
      </c>
      <c r="F10">
        <v>163</v>
      </c>
      <c r="M10">
        <v>569</v>
      </c>
      <c r="N10">
        <v>31</v>
      </c>
    </row>
    <row r="11" spans="1:14" x14ac:dyDescent="0.25">
      <c r="A11" t="s">
        <v>87</v>
      </c>
      <c r="B11" t="s">
        <v>24</v>
      </c>
      <c r="C11">
        <v>600</v>
      </c>
      <c r="D11">
        <v>203</v>
      </c>
      <c r="E11">
        <v>203</v>
      </c>
      <c r="F11">
        <v>163</v>
      </c>
      <c r="M11">
        <v>569</v>
      </c>
      <c r="N11">
        <v>31</v>
      </c>
    </row>
    <row r="12" spans="1:14" x14ac:dyDescent="0.25">
      <c r="A12" t="s">
        <v>87</v>
      </c>
      <c r="B12" t="s">
        <v>24</v>
      </c>
      <c r="C12">
        <v>600</v>
      </c>
      <c r="D12">
        <v>203</v>
      </c>
      <c r="E12">
        <v>203</v>
      </c>
      <c r="F12">
        <v>163</v>
      </c>
      <c r="M12">
        <v>569</v>
      </c>
      <c r="N12">
        <v>31</v>
      </c>
    </row>
    <row r="13" spans="1:14" x14ac:dyDescent="0.25">
      <c r="A13" t="s">
        <v>87</v>
      </c>
      <c r="B13" t="s">
        <v>24</v>
      </c>
      <c r="C13">
        <v>600</v>
      </c>
      <c r="D13">
        <v>203</v>
      </c>
      <c r="E13">
        <v>203</v>
      </c>
      <c r="F13">
        <v>163</v>
      </c>
      <c r="M13">
        <v>569</v>
      </c>
      <c r="N13">
        <v>31</v>
      </c>
    </row>
    <row r="14" spans="1:14" x14ac:dyDescent="0.25">
      <c r="A14" t="s">
        <v>87</v>
      </c>
      <c r="B14" t="s">
        <v>24</v>
      </c>
      <c r="C14">
        <v>600</v>
      </c>
      <c r="D14">
        <v>203</v>
      </c>
      <c r="E14">
        <v>203</v>
      </c>
      <c r="F14">
        <v>129.75</v>
      </c>
      <c r="G14">
        <v>61</v>
      </c>
      <c r="M14">
        <v>596.75</v>
      </c>
      <c r="N14">
        <v>3.25</v>
      </c>
    </row>
    <row r="15" spans="1:14" x14ac:dyDescent="0.25">
      <c r="A15" t="s">
        <v>87</v>
      </c>
      <c r="B15" t="s">
        <v>24</v>
      </c>
      <c r="C15">
        <v>600</v>
      </c>
      <c r="D15">
        <v>203</v>
      </c>
      <c r="E15">
        <v>203</v>
      </c>
      <c r="F15">
        <v>129.75</v>
      </c>
      <c r="G15">
        <v>61</v>
      </c>
      <c r="M15">
        <v>596.75</v>
      </c>
      <c r="N15">
        <v>3.25</v>
      </c>
    </row>
    <row r="16" spans="1:14" x14ac:dyDescent="0.25">
      <c r="A16" t="s">
        <v>87</v>
      </c>
      <c r="B16" t="s">
        <v>24</v>
      </c>
      <c r="C16">
        <v>600</v>
      </c>
      <c r="D16">
        <v>203</v>
      </c>
      <c r="E16">
        <v>203</v>
      </c>
      <c r="F16">
        <v>112</v>
      </c>
      <c r="G16">
        <v>79.5</v>
      </c>
      <c r="M16">
        <v>597.5</v>
      </c>
      <c r="N16">
        <v>2.5</v>
      </c>
    </row>
    <row r="17" spans="1:14" x14ac:dyDescent="0.25">
      <c r="A17" t="s">
        <v>87</v>
      </c>
      <c r="B17" t="s">
        <v>24</v>
      </c>
      <c r="C17">
        <v>600</v>
      </c>
      <c r="D17">
        <v>203</v>
      </c>
      <c r="E17">
        <v>203</v>
      </c>
      <c r="F17">
        <v>112</v>
      </c>
      <c r="G17">
        <v>75.25</v>
      </c>
      <c r="M17">
        <v>593.25</v>
      </c>
      <c r="N17">
        <v>6.75</v>
      </c>
    </row>
    <row r="18" spans="1:14" x14ac:dyDescent="0.25">
      <c r="A18" t="s">
        <v>87</v>
      </c>
      <c r="B18" t="s">
        <v>24</v>
      </c>
      <c r="C18">
        <v>600</v>
      </c>
      <c r="D18">
        <v>203</v>
      </c>
      <c r="E18">
        <v>203</v>
      </c>
      <c r="F18">
        <v>112</v>
      </c>
      <c r="G18">
        <v>75.25</v>
      </c>
      <c r="M18">
        <v>593.25</v>
      </c>
      <c r="N18">
        <v>6.75</v>
      </c>
    </row>
    <row r="19" spans="1:14" x14ac:dyDescent="0.25">
      <c r="A19" t="s">
        <v>87</v>
      </c>
      <c r="B19" t="s">
        <v>24</v>
      </c>
      <c r="C19">
        <v>600</v>
      </c>
      <c r="D19">
        <v>203</v>
      </c>
      <c r="E19">
        <v>203</v>
      </c>
      <c r="F19">
        <v>112</v>
      </c>
      <c r="G19">
        <v>75.25</v>
      </c>
      <c r="M19">
        <v>593.25</v>
      </c>
      <c r="N19">
        <v>6.75</v>
      </c>
    </row>
    <row r="20" spans="1:14" x14ac:dyDescent="0.25">
      <c r="A20" t="s">
        <v>87</v>
      </c>
      <c r="B20" t="s">
        <v>24</v>
      </c>
      <c r="C20">
        <v>600</v>
      </c>
      <c r="D20">
        <v>92.5</v>
      </c>
      <c r="E20">
        <v>92.5</v>
      </c>
      <c r="F20">
        <v>92.5</v>
      </c>
      <c r="G20">
        <v>92.5</v>
      </c>
      <c r="H20">
        <v>75.25</v>
      </c>
      <c r="I20">
        <v>75.25</v>
      </c>
      <c r="J20">
        <v>73</v>
      </c>
      <c r="M20">
        <v>593.5</v>
      </c>
      <c r="N20">
        <v>6.5</v>
      </c>
    </row>
    <row r="21" spans="1:14" x14ac:dyDescent="0.25">
      <c r="A21" t="s">
        <v>87</v>
      </c>
      <c r="B21" t="s">
        <v>24</v>
      </c>
      <c r="C21">
        <v>600</v>
      </c>
      <c r="D21">
        <v>73</v>
      </c>
      <c r="E21">
        <v>73</v>
      </c>
      <c r="F21">
        <v>73</v>
      </c>
      <c r="G21">
        <v>73</v>
      </c>
      <c r="H21">
        <v>72.75</v>
      </c>
      <c r="I21">
        <v>72.75</v>
      </c>
      <c r="J21">
        <v>72.75</v>
      </c>
      <c r="K21">
        <v>72.75</v>
      </c>
      <c r="M21">
        <v>583</v>
      </c>
      <c r="N21">
        <v>17</v>
      </c>
    </row>
    <row r="22" spans="1:14" x14ac:dyDescent="0.25">
      <c r="A22" t="s">
        <v>87</v>
      </c>
      <c r="B22" t="s">
        <v>24</v>
      </c>
      <c r="C22">
        <v>600</v>
      </c>
      <c r="D22">
        <v>72.75</v>
      </c>
      <c r="E22">
        <v>72.25</v>
      </c>
      <c r="F22">
        <v>72.25</v>
      </c>
      <c r="G22">
        <v>72.25</v>
      </c>
      <c r="H22">
        <v>72.25</v>
      </c>
      <c r="I22">
        <v>72</v>
      </c>
      <c r="J22">
        <v>72</v>
      </c>
      <c r="K22">
        <v>72</v>
      </c>
      <c r="M22">
        <v>577.75</v>
      </c>
      <c r="N22">
        <v>22.25</v>
      </c>
    </row>
    <row r="23" spans="1:14" x14ac:dyDescent="0.25">
      <c r="A23" t="s">
        <v>87</v>
      </c>
      <c r="B23" t="s">
        <v>24</v>
      </c>
      <c r="C23">
        <v>600</v>
      </c>
      <c r="D23">
        <v>72</v>
      </c>
      <c r="E23">
        <v>70.25</v>
      </c>
      <c r="F23">
        <v>70.25</v>
      </c>
      <c r="G23">
        <v>70.25</v>
      </c>
      <c r="H23">
        <v>70.25</v>
      </c>
      <c r="I23">
        <v>70.25</v>
      </c>
      <c r="J23">
        <v>70.25</v>
      </c>
      <c r="K23">
        <v>65.5</v>
      </c>
      <c r="L23">
        <v>35</v>
      </c>
      <c r="M23">
        <v>594</v>
      </c>
      <c r="N23">
        <v>6</v>
      </c>
    </row>
    <row r="24" spans="1:14" x14ac:dyDescent="0.25">
      <c r="A24" t="s">
        <v>87</v>
      </c>
      <c r="B24" t="s">
        <v>24</v>
      </c>
      <c r="C24">
        <v>600</v>
      </c>
      <c r="D24">
        <v>59.5</v>
      </c>
      <c r="E24">
        <v>54</v>
      </c>
      <c r="F24">
        <v>54</v>
      </c>
      <c r="G24">
        <v>52</v>
      </c>
      <c r="H24">
        <v>52</v>
      </c>
      <c r="I24">
        <v>35</v>
      </c>
      <c r="M24">
        <v>306.5</v>
      </c>
      <c r="N24">
        <v>293.5</v>
      </c>
    </row>
    <row r="26" spans="1:14" x14ac:dyDescent="0.25">
      <c r="C26">
        <v>12840</v>
      </c>
      <c r="M26">
        <v>11720.125</v>
      </c>
      <c r="N26">
        <v>1119.875</v>
      </c>
    </row>
    <row r="27" spans="1:14" x14ac:dyDescent="0.25">
      <c r="N27" s="17">
        <v>8.72E-2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Sheet2</vt:lpstr>
      <vt:lpstr>NestingSummary</vt:lpstr>
      <vt:lpstr>DetailedNesting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DASA-1</dc:creator>
  <cp:lastModifiedBy>User-43</cp:lastModifiedBy>
  <cp:lastPrinted>2021-01-19T06:12:27Z</cp:lastPrinted>
  <dcterms:created xsi:type="dcterms:W3CDTF">2015-06-05T18:17:20Z</dcterms:created>
  <dcterms:modified xsi:type="dcterms:W3CDTF">2021-08-02T07:18:35Z</dcterms:modified>
</cp:coreProperties>
</file>