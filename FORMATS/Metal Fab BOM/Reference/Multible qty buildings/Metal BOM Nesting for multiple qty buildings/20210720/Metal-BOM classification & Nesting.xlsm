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20\"/>
    </mc:Choice>
  </mc:AlternateContent>
  <xr:revisionPtr revIDLastSave="0" documentId="13_ncr:1_{9B8DEA48-2D11-479E-A7D4-47B74ACFCDF4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Sheet1" sheetId="1" r:id="rId1"/>
    <sheet name="Sheet2" sheetId="15" r:id="rId2"/>
    <sheet name="NestingSummary" sheetId="26" r:id="rId3"/>
    <sheet name="DetailedNesting" sheetId="27" r:id="rId4"/>
  </sheets>
  <functionGroups builtInGroupCount="19"/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9" i="1" l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</calcChain>
</file>

<file path=xl/sharedStrings.xml><?xml version="1.0" encoding="utf-8"?>
<sst xmlns="http://schemas.openxmlformats.org/spreadsheetml/2006/main" count="881" uniqueCount="207">
  <si>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</si>
  <si>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</si>
  <si>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</si>
  <si>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</si>
  <si>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</si>
  <si>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</si>
  <si>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</si>
  <si>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</si>
  <si>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</si>
  <si>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</si>
  <si>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</si>
  <si>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</si>
  <si>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</si>
  <si>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</si>
  <si>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</si>
  <si>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</si>
  <si>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</si>
  <si>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</si>
  <si>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</si>
  <si>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</si>
  <si>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</si>
  <si>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</si>
  <si>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</si>
  <si>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</si>
  <si>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</si>
  <si>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</si>
  <si>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</si>
  <si>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</si>
  <si>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</si>
  <si>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</si>
  <si>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</si>
  <si>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</si>
  <si>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</si>
  <si>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</si>
  <si>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</si>
  <si>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</si>
  <si>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</si>
  <si>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</si>
  <si>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</si>
  <si>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</si>
  <si>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</si>
  <si>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</si>
  <si>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</si>
  <si>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</si>
  <si>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</si>
  <si>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</si>
  <si>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</si>
  <si>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</si>
  <si>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</si>
  <si>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</si>
  <si>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</si>
  <si>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</si>
  <si>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</si>
  <si>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</si>
  <si>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</si>
  <si>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</si>
  <si>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</si>
  <si>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</si>
  <si>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</si>
  <si>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</si>
  <si>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</si>
  <si>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</si>
  <si>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</si>
  <si>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</si>
  <si>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</si>
  <si>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</si>
  <si>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</si>
  <si>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</si>
  <si>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</si>
  <si>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</si>
  <si>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</si>
  <si>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</si>
  <si>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</si>
  <si>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</si>
  <si>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</si>
  <si>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</si>
  <si>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</si>
  <si>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</si>
  <si>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</si>
  <si>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</si>
  <si>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</si>
  <si>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</si>
  <si>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</si>
  <si>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</si>
  <si>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</si>
  <si>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</si>
  <si>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</si>
  <si>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</si>
  <si>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</si>
  <si>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</si>
  <si>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</si>
  <si>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</si>
  <si>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</si>
  <si>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</si>
  <si>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</si>
  <si>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</si>
  <si>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</si>
  <si>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</si>
  <si>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</si>
  <si>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</si>
  <si>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</si>
  <si>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</si>
  <si>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</si>
  <si>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</si>
  <si>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</si>
  <si>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</si>
  <si>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</si>
  <si>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</si>
  <si>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</si>
  <si>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</si>
  <si>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</si>
  <si>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</si>
  <si>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</si>
  <si>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</si>
  <si>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HSS8x2x3/8</t>
  </si>
  <si>
    <t>ISOLATOR RAIL</t>
  </si>
  <si>
    <t>Raw Ang. 3" X 2" X 3/16"</t>
  </si>
  <si>
    <t>804-14007</t>
  </si>
  <si>
    <t>Raw Ang. 2 X 2 X 1/4"</t>
  </si>
  <si>
    <t xml:space="preserve">Tubing 8"x2"x3/8"  </t>
  </si>
  <si>
    <t>W12x50</t>
  </si>
  <si>
    <t>C12x30</t>
  </si>
  <si>
    <t>L3x3x1/2</t>
  </si>
  <si>
    <t>L7x4x3/8</t>
  </si>
  <si>
    <t>HSS3x2x1/4</t>
  </si>
  <si>
    <t>HSS6x4x3/8</t>
  </si>
  <si>
    <t>HSS6x6x3/8</t>
  </si>
  <si>
    <t>W12x35</t>
  </si>
  <si>
    <t>804-00059</t>
  </si>
  <si>
    <t>P1</t>
  </si>
  <si>
    <t>804-05037</t>
  </si>
  <si>
    <t>P2</t>
  </si>
  <si>
    <t>804-00053</t>
  </si>
  <si>
    <t>804-00957</t>
  </si>
  <si>
    <t>804-00040</t>
  </si>
  <si>
    <t>804-14013</t>
  </si>
  <si>
    <t>P3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</si>
  <si>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</si>
  <si>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</si>
  <si>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</si>
  <si>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</si>
  <si>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</si>
  <si>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</si>
  <si>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</si>
  <si>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</si>
  <si>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</si>
  <si>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</si>
  <si>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</si>
  <si>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Total Cut Length</t>
  </si>
  <si>
    <t>Total Waste</t>
  </si>
  <si>
    <t>Cut Length4</t>
  </si>
  <si>
    <t>Cut Length5</t>
  </si>
  <si>
    <t>Cut Length6</t>
  </si>
  <si>
    <t>Cut Length7</t>
  </si>
  <si>
    <t>Cut Length8</t>
  </si>
  <si>
    <t>Cut Length9</t>
  </si>
  <si>
    <t>Cut Length10</t>
  </si>
  <si>
    <t>Cut Length11</t>
  </si>
  <si>
    <t>Cut Length12</t>
  </si>
  <si>
    <t>Cut Length13</t>
  </si>
  <si>
    <t>Cut Length14</t>
  </si>
  <si>
    <t>Cut Length15</t>
  </si>
  <si>
    <t>Cut Length16</t>
  </si>
  <si>
    <t>Cut Length17</t>
  </si>
  <si>
    <t>Cut Length18</t>
  </si>
  <si>
    <t>Cut Length19</t>
  </si>
  <si>
    <t>Cut Length20</t>
  </si>
  <si>
    <t>Cut Length21</t>
  </si>
  <si>
    <t>Cut Length22</t>
  </si>
  <si>
    <t>Cut Length23</t>
  </si>
  <si>
    <t>Cut Length24</t>
  </si>
  <si>
    <t>Cut Length25</t>
  </si>
  <si>
    <t>Cut Length26</t>
  </si>
  <si>
    <t>Cut Length27</t>
  </si>
  <si>
    <t>Cut Length28</t>
  </si>
  <si>
    <t>Cut Length29</t>
  </si>
  <si>
    <t>Cut Length30</t>
  </si>
  <si>
    <t>Cut Length31</t>
  </si>
  <si>
    <t>Cut Length32</t>
  </si>
  <si>
    <t>Cut Length33</t>
  </si>
  <si>
    <t>Cut Length34</t>
  </si>
  <si>
    <t>Cut Length35</t>
  </si>
  <si>
    <t>Cut Length36</t>
  </si>
  <si>
    <t>Cut Length37</t>
  </si>
  <si>
    <t>Cut Length38</t>
  </si>
  <si>
    <t>Cut Length39</t>
  </si>
  <si>
    <t>Cut Length40</t>
  </si>
  <si>
    <t>Cut Length41</t>
  </si>
  <si>
    <t>Cut Length42</t>
  </si>
  <si>
    <t>Cut Length43</t>
  </si>
  <si>
    <t>Cut Length44</t>
  </si>
  <si>
    <t>Cut Length45</t>
  </si>
  <si>
    <t>Cut Length46</t>
  </si>
  <si>
    <t>Cut Length47</t>
  </si>
  <si>
    <t>Cut Length48</t>
  </si>
  <si>
    <t>Cut Length49</t>
  </si>
  <si>
    <t>Cut Length50</t>
  </si>
  <si>
    <t>Cut Length51</t>
  </si>
  <si>
    <t>Cut Length52</t>
  </si>
  <si>
    <t>Cut Length53</t>
  </si>
  <si>
    <t>Cut Length54</t>
  </si>
  <si>
    <t>Cut Length55</t>
  </si>
  <si>
    <t>Cut Length56</t>
  </si>
  <si>
    <t>Cut Length57</t>
  </si>
  <si>
    <t>Cut Length58</t>
  </si>
  <si>
    <t>Cut Length59</t>
  </si>
  <si>
    <t>Cut Length60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</si>
</sst>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sz val="8"/>
      <name val="Arial"/>
      <family val="2"/>
      <charset val="1"/>
    </font>
    <font>
      <sz val="8"/>
      <color rgb="FF000000"/>
      <name val="Arial"/>
      <family val="2"/>
      <charset val="1"/>
    </font>
    <font>
      <sz val="8"/>
      <name val="Arial"/>
      <family val="1"/>
      <charset val="1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8"/>
      </right>
      <top style="hair">
        <color auto="1"/>
      </top>
      <bottom style="hair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8"/>
      </right>
      <top style="hair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left" vertical="center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9" fillId="0" borderId="4" xfId="0" applyFont="1" applyBorder="1" applyAlignment="1">
      <alignment horizontal="left"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wrapText="1"/>
    </xf>
    <xf numFmtId="0" fontId="10" fillId="0" borderId="4" xfId="0" applyFont="1" applyBorder="1" applyAlignment="1">
      <alignment wrapText="1"/>
    </xf>
    <xf numFmtId="12" fontId="10" fillId="0" borderId="4" xfId="0" applyNumberFormat="1" applyFont="1" applyBorder="1" applyAlignment="1">
      <alignment horizontal="center" wrapText="1"/>
    </xf>
    <xf numFmtId="0" fontId="10" fillId="0" borderId="4" xfId="0" applyFont="1" applyBorder="1" applyAlignment="1">
      <alignment horizontal="center"/>
    </xf>
    <xf numFmtId="12" fontId="11" fillId="0" borderId="4" xfId="0" applyNumberFormat="1" applyFont="1" applyBorder="1" applyAlignment="1">
      <alignment horizontal="center" wrapText="1"/>
    </xf>
    <xf numFmtId="12" fontId="8" fillId="0" borderId="2" xfId="0" applyNumberFormat="1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center" vertical="center" wrapText="1"/>
    </xf>
    <xf numFmtId="165" fontId="5" fillId="0" borderId="6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165" fontId="5" fillId="0" borderId="7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center" vertical="center" wrapText="1"/>
    </xf>
    <xf numFmtId="165" fontId="5" fillId="0" borderId="8" xfId="0" applyNumberFormat="1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165" fontId="5" fillId="0" borderId="11" xfId="0" applyNumberFormat="1" applyFont="1" applyBorder="1" applyAlignment="1">
      <alignment horizontal="center" vertical="center" wrapText="1"/>
    </xf>
    <xf numFmtId="12" fontId="8" fillId="0" borderId="9" xfId="0" applyNumberFormat="1" applyFont="1" applyBorder="1" applyAlignment="1">
      <alignment horizontal="left" vertical="center"/>
    </xf>
    <xf numFmtId="0" fontId="8" fillId="0" borderId="0" xfId="0" applyFont="1" applyBorder="1"/>
    <xf numFmtId="0" fontId="5" fillId="0" borderId="12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center" vertical="center" wrapText="1"/>
    </xf>
    <xf numFmtId="165" fontId="5" fillId="0" borderId="12" xfId="0" applyNumberFormat="1" applyFont="1" applyBorder="1" applyAlignment="1">
      <alignment horizontal="center" vertical="center" wrapText="1"/>
    </xf>
    <xf numFmtId="0" fontId="12" fillId="0" borderId="0" xfId="0" applyFont="1"/>
    <xf numFmtId="10" fontId="0" fillId="0" borderId="0" xfId="0" applyNumberFormat="1"/>
  </cellXfs>
  <cellStyles count="1">
    <cellStyle name="Normal" xfId="0" builtinId="0"/>
  </cellStyles>
  <dxfs count="15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65" formatCode="0.000"/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indexed="8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8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271" totalsRowShown="0" dataDxfId="14">
  <autoFilter ref="A4:K271" xr:uid="{CDF9619B-F0E7-490D-BEFA-727196256470}"/>
  <sortState xmlns:xlrd2="http://schemas.microsoft.com/office/spreadsheetml/2017/richdata2" ref="A5:K13">
    <sortCondition descending="1" ref="G5:G13"/>
  </sortState>
  <tableColumns count="11">
    <tableColumn id="1" xr3:uid="{4774FE6E-D79F-4E40-98D1-FE10D40ABC07}" name="SL. NO." dataDxfId="13"/>
    <tableColumn id="2" xr3:uid="{9884691F-0A0D-47CB-8EF0-9AE590C29CC9}" name="PART#" dataDxfId="12"/>
    <tableColumn id="3" xr3:uid="{3868E0BB-A494-4109-A7E8-244E1F15175E}" name="LEGEND" dataDxfId="11"/>
    <tableColumn id="4" xr3:uid="{A4F222A3-F838-4FED-8402-8D5E4131929A}" name="ITEM #" dataDxfId="10"/>
    <tableColumn id="5" xr3:uid="{6C82C4FD-0222-4263-8F8F-1DE29AB0E7E9}" name="DESCRIPTION" dataDxfId="9"/>
    <tableColumn id="6" xr3:uid="{74DDC800-B5E7-459A-ABF8-ABAF51A457AC}" name="QTY." dataDxfId="8"/>
    <tableColumn id="7" xr3:uid="{119738FE-8C63-4234-ACE4-FA9F6A046F9C}" name="LENGTH (in.)" dataDxfId="7"/>
    <tableColumn id="8" xr3:uid="{E4370ABC-D39E-4392-8F0E-6B9C56981840}" name="RAW MATERIAL _x000a_NUMBER" dataDxfId="6">
      <calculatedColumnFormula>Table1[[#This Row],[LENGTH (in.)]]*Table1[[#This Row],[QTY.]]</calculatedColumnFormula>
    </tableColumn>
    <tableColumn id="9" xr3:uid="{1A2B8888-81A1-4DB4-A951-BBABDB4647C7}" name="SUPPLIER" dataDxfId="5"/>
    <tableColumn id="10" xr3:uid="{709F9ABD-F4C3-4F5E-9F71-D158E141171F}" name="SUB-ASSEMBLY" dataDxfId="4"/>
    <tableColumn id="11" xr3:uid="{047AD226-E9D9-4FBE-A92A-B42E92B0B3A3}" name="REMARK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1D2810-F9F5-48F8-A21D-708E386239A3}" name="Table1" displayName="Table1_1" ref="A1:F16" totalsRowShown="0" headerRowDxfId="0">
  <autoFilter ref="A1:F16" xr:uid="{EC1D2810-F9F5-48F8-A21D-708E386239A3}"/>
  <tableColumns count="6">
    <tableColumn id="1" xr3:uid="{AB5B169E-7767-47C6-9AEA-333196D2D26C}" name="Item Description"/>
    <tableColumn id="2" xr3:uid="{1DF4FF54-6B00-4390-915E-E70727D3EF68}" name="Raw Material Number"/>
    <tableColumn id="3" xr3:uid="{7F1B2D22-0497-4176-A37E-9C56B4F92F8D}" name="Qty"/>
    <tableColumn id="4" xr3:uid="{56AF07F5-A007-4314-AC76-6C9930C23DEA}" name="Purchase Length(inches)"/>
    <tableColumn id="5" xr3:uid="{D4ECAE41-9F0E-4D45-AE5B-9F96F7B882E8}" name="Purchase Length(ft)"/>
    <tableColumn id="6" xr3:uid="{5F7D3269-AC54-42A8-A798-83C1DF15D6EE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C52A9E-58BD-41A0-9C61-77E6862AB5DA}" name="Table2" displayName="Table2" ref="A1:BM171" totalsRowShown="0">
  <autoFilter ref="A1:BM171" xr:uid="{28C52A9E-58BD-41A0-9C61-77E6862AB5DA}"/>
  <tableColumns count="65">
    <tableColumn id="1" xr3:uid="{77FA79C0-6C8A-43F3-A1CC-AE2FC8FEF8AA}" name="Item Description"/>
    <tableColumn id="2" xr3:uid="{2774CFFF-3B4B-4BF6-8637-9C067F4F3B9F}" name="Raw Material"/>
    <tableColumn id="3" xr3:uid="{6C94DB9A-359A-4208-8262-75E9893B42E3}" name="Purchase Length"/>
    <tableColumn id="4" xr3:uid="{BC79EDD5-C9A7-4F0D-A0CE-341A5A8F4934}" name="Cut Length1"/>
    <tableColumn id="5" xr3:uid="{89490F22-482E-441E-8525-8AC849D94064}" name="Cut Length2"/>
    <tableColumn id="6" xr3:uid="{1131E813-0EE0-4EBA-8FF7-7929F8426BE8}" name="Cut Length3"/>
    <tableColumn id="7" xr3:uid="{B0A936E5-1929-43D9-81BC-7F355DC075FA}" name="Cut Length4"/>
    <tableColumn id="8" xr3:uid="{B3E6643C-59AF-497A-B0F6-58F20BD32AB6}" name="Cut Length5"/>
    <tableColumn id="9" xr3:uid="{37D00C08-37A7-4E3E-8315-629010DFE7EC}" name="Cut Length6"/>
    <tableColumn id="10" xr3:uid="{DAD37476-165E-41C0-8297-8BE6D2B9647C}" name="Cut Length7"/>
    <tableColumn id="11" xr3:uid="{7220C6D3-DC9C-4B76-8E2B-7FF786F90487}" name="Cut Length8"/>
    <tableColumn id="12" xr3:uid="{A77C6E8F-EB68-42D1-BE07-CDA8D0220EF4}" name="Cut Length9"/>
    <tableColumn id="13" xr3:uid="{248D1621-76D4-4436-8B89-3B38DA70DDBC}" name="Cut Length10"/>
    <tableColumn id="14" xr3:uid="{9621C1C0-53A8-4A2C-866E-C96180859AA3}" name="Cut Length11"/>
    <tableColumn id="15" xr3:uid="{6345A8A3-66A5-4732-ADE5-37CC0443402A}" name="Cut Length12"/>
    <tableColumn id="16" xr3:uid="{5B198047-251D-418C-A8F3-B73BA4B0671D}" name="Cut Length13"/>
    <tableColumn id="17" xr3:uid="{040D49E1-1663-41EC-937F-9F1CF8BD5B8D}" name="Cut Length14"/>
    <tableColumn id="18" xr3:uid="{6D12549F-97D3-4845-8F8B-CE18907B7B5A}" name="Cut Length15"/>
    <tableColumn id="19" xr3:uid="{884B94B0-02DE-4278-B760-D8CCFB7BE7A7}" name="Cut Length16"/>
    <tableColumn id="20" xr3:uid="{A7A6DF56-2EB6-4CF2-A2A6-F232F598DA50}" name="Cut Length17"/>
    <tableColumn id="21" xr3:uid="{21C22A5F-0161-48F9-B613-7B63FDDA0944}" name="Cut Length18"/>
    <tableColumn id="22" xr3:uid="{FA3BDC8A-EC25-487A-89D7-6D6735C50072}" name="Cut Length19"/>
    <tableColumn id="23" xr3:uid="{741293D1-66E4-4768-988E-EB3777888B26}" name="Cut Length20"/>
    <tableColumn id="24" xr3:uid="{EB074A02-2ED6-430C-81E1-EBB1E47C6745}" name="Cut Length21"/>
    <tableColumn id="25" xr3:uid="{02A86FBD-E1AE-488A-99C7-28C0622655D2}" name="Cut Length22"/>
    <tableColumn id="26" xr3:uid="{B146B99E-03D6-4CA4-A675-3A38CF13D622}" name="Cut Length23"/>
    <tableColumn id="27" xr3:uid="{FBF56559-F932-4DA6-8C45-FB1605702EC8}" name="Cut Length24"/>
    <tableColumn id="28" xr3:uid="{B25A4793-1F38-4861-9FF0-ABFE7137D6AB}" name="Cut Length25"/>
    <tableColumn id="29" xr3:uid="{51C93B99-00AE-4CA5-816C-B61E38380DC7}" name="Cut Length26"/>
    <tableColumn id="30" xr3:uid="{731751E0-8C26-494E-BA0A-8F841B6808A5}" name="Cut Length27"/>
    <tableColumn id="31" xr3:uid="{26804099-E970-44A5-8F39-E80D8A1BF94C}" name="Cut Length28"/>
    <tableColumn id="32" xr3:uid="{100A1383-9F61-471F-9C76-13D27A00900E}" name="Cut Length29"/>
    <tableColumn id="33" xr3:uid="{2E10485F-109B-4D8A-88C2-AA2046CA8BA2}" name="Cut Length30"/>
    <tableColumn id="34" xr3:uid="{F0335214-0480-40EC-9177-F95E18676E44}" name="Cut Length31"/>
    <tableColumn id="35" xr3:uid="{3A5A7F7B-D394-4422-BA28-CB5274D2D564}" name="Cut Length32"/>
    <tableColumn id="36" xr3:uid="{10C419D4-DF6E-4D10-93E0-1EE5B752A61D}" name="Cut Length33"/>
    <tableColumn id="37" xr3:uid="{2B3880A8-A19E-466B-A7F2-3FBFE053491C}" name="Cut Length34"/>
    <tableColumn id="38" xr3:uid="{B2457EDF-D151-4140-8050-F3DF033C8DF2}" name="Cut Length35"/>
    <tableColumn id="39" xr3:uid="{CA3C1961-1F02-4093-AB84-668C71EC513F}" name="Cut Length36"/>
    <tableColumn id="40" xr3:uid="{14BF4EC2-18D6-45E8-88E0-4BD7C60A2BE5}" name="Cut Length37"/>
    <tableColumn id="41" xr3:uid="{FF8BDB78-2493-471B-ACD0-CEFD0BF63921}" name="Cut Length38"/>
    <tableColumn id="42" xr3:uid="{06D40E81-39A5-4D6C-807A-9863409C45D9}" name="Cut Length39"/>
    <tableColumn id="43" xr3:uid="{C21A754A-2FDE-40AA-BC54-932649B827ED}" name="Cut Length40"/>
    <tableColumn id="44" xr3:uid="{FB69AA84-4653-4A4B-B3F0-67D2493BCD01}" name="Cut Length41"/>
    <tableColumn id="45" xr3:uid="{F926CCFC-61A6-4E6A-AB95-16546B012548}" name="Cut Length42"/>
    <tableColumn id="46" xr3:uid="{4585C0CE-FA44-4870-B9EF-7107A4B95C24}" name="Cut Length43"/>
    <tableColumn id="47" xr3:uid="{67B52B93-6FA1-4F58-9600-9B4D02A3A9F0}" name="Cut Length44"/>
    <tableColumn id="48" xr3:uid="{5F6277C4-CE9C-419B-9CDD-4B79DA74DFD6}" name="Cut Length45"/>
    <tableColumn id="49" xr3:uid="{A00F4B07-844C-4DAC-AA98-ED78DC8A71E6}" name="Cut Length46"/>
    <tableColumn id="50" xr3:uid="{D7940369-DE5D-4D22-82F9-732F8389F95E}" name="Cut Length47"/>
    <tableColumn id="51" xr3:uid="{BACFE007-DD42-4BF6-8D56-D50462EA4A67}" name="Cut Length48"/>
    <tableColumn id="52" xr3:uid="{E2073C66-F752-4768-9716-C0FF2F536163}" name="Cut Length49"/>
    <tableColumn id="53" xr3:uid="{5DBEB414-1011-4C35-8266-DFC6F61AC701}" name="Cut Length50"/>
    <tableColumn id="54" xr3:uid="{EBC3594D-1BB6-4EBA-A5E4-726933E538ED}" name="Cut Length51"/>
    <tableColumn id="55" xr3:uid="{2A3E17B3-9B7D-45E8-862C-6278FE25F6F0}" name="Cut Length52"/>
    <tableColumn id="56" xr3:uid="{1FC59DC4-7960-4459-A51F-5C37BE9D46D0}" name="Cut Length53"/>
    <tableColumn id="57" xr3:uid="{DBA3AC13-027E-408C-B03B-5E35ABCB19C8}" name="Cut Length54"/>
    <tableColumn id="58" xr3:uid="{41D235EE-E553-4BC6-93B1-89632BB3D8FB}" name="Cut Length55"/>
    <tableColumn id="59" xr3:uid="{F55A55CF-F1AC-47E5-821A-396215A30B19}" name="Cut Length56"/>
    <tableColumn id="60" xr3:uid="{D4209DA5-9A17-43FB-9A48-DAA980AB72C5}" name="Cut Length57"/>
    <tableColumn id="61" xr3:uid="{FA8F73D7-D5E3-4FE7-AE62-32722B9DF3B5}" name="Cut Length58"/>
    <tableColumn id="62" xr3:uid="{5C79C668-1484-4A72-8B94-ADF8473F159C}" name="Cut Length59"/>
    <tableColumn id="63" xr3:uid="{6D2C848C-14C5-46AB-AD73-658EE1EDD042}" name="Cut Length60"/>
    <tableColumn id="64" xr3:uid="{D76B1439-61C6-4BD0-8769-0BD3FD67A7C4}" name="Total Cut Length"/>
    <tableColumn id="65" xr3:uid="{5597FED5-A60A-4927-8EF9-6C0A336F66C9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71"/>
  <sheetViews>
    <sheetView zoomScale="115" zoomScaleNormal="115" workbookViewId="0">
      <selection activeCell="D18" sqref="D18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8" width="12.28515625" style="7" bestFit="1" customWidth="1"/>
    <col min="9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0" t="s">
        <v>13</v>
      </c>
      <c r="I4" s="10" t="s">
        <v>74</v>
      </c>
      <c r="J4" s="10" t="s">
        <v>75</v>
      </c>
      <c r="K4" s="10" t="s">
        <v>76</v>
      </c>
    </row>
    <row r="5" spans="1:1023" s="18" customFormat="1" ht="11.25" x14ac:dyDescent="0.2">
      <c r="A5" s="15"/>
      <c r="B5" s="24"/>
      <c r="C5" s="29"/>
      <c r="D5" s="26"/>
      <c r="E5" s="27" t="s">
        <v>61</v>
      </c>
      <c r="F5" s="26">
        <v>1</v>
      </c>
      <c r="G5" s="30">
        <v>701.5</v>
      </c>
      <c r="H5" s="31">
        <f>Table1[[#This Row],[LENGTH (in.)]]*Table1[[#This Row],[QTY.]]</f>
        <v>701.5</v>
      </c>
      <c r="I5" s="16"/>
      <c r="J5" s="16"/>
      <c r="K5" s="16"/>
      <c r="L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17"/>
      <c r="GO5" s="17"/>
      <c r="GP5" s="17"/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17"/>
      <c r="KP5" s="17"/>
      <c r="KQ5" s="17"/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17"/>
      <c r="MT5" s="17"/>
      <c r="MU5" s="17"/>
      <c r="MV5" s="17"/>
      <c r="MW5" s="17"/>
      <c r="MX5" s="17"/>
      <c r="MY5" s="17"/>
      <c r="MZ5" s="17"/>
      <c r="NA5" s="17"/>
      <c r="NB5" s="17"/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17"/>
      <c r="OX5" s="17"/>
      <c r="OY5" s="17"/>
      <c r="OZ5" s="17"/>
      <c r="PA5" s="17"/>
      <c r="PB5" s="17"/>
      <c r="PC5" s="17"/>
      <c r="PD5" s="17"/>
      <c r="PE5" s="17"/>
      <c r="PF5" s="17"/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17"/>
      <c r="RA5" s="17"/>
      <c r="RB5" s="17"/>
      <c r="RC5" s="17"/>
      <c r="RD5" s="17"/>
      <c r="RE5" s="17"/>
      <c r="RF5" s="17"/>
      <c r="RG5" s="17"/>
      <c r="RH5" s="17"/>
      <c r="RI5" s="17"/>
      <c r="RJ5" s="17"/>
      <c r="RK5" s="17"/>
      <c r="RL5" s="17"/>
      <c r="RM5" s="17"/>
      <c r="RN5" s="17"/>
      <c r="RO5" s="17"/>
      <c r="RP5" s="17"/>
      <c r="RQ5" s="17"/>
      <c r="RR5" s="17"/>
      <c r="RS5" s="17"/>
      <c r="RT5" s="17"/>
      <c r="RU5" s="17"/>
      <c r="RV5" s="17"/>
      <c r="RW5" s="17"/>
      <c r="RX5" s="17"/>
      <c r="RY5" s="17"/>
      <c r="RZ5" s="17"/>
      <c r="SA5" s="17"/>
      <c r="SB5" s="17"/>
      <c r="SC5" s="17"/>
      <c r="SD5" s="17"/>
      <c r="SE5" s="17"/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17"/>
      <c r="TQ5" s="17"/>
      <c r="TR5" s="17"/>
      <c r="TS5" s="17"/>
      <c r="TT5" s="17"/>
      <c r="TU5" s="17"/>
      <c r="TV5" s="17"/>
      <c r="TW5" s="17"/>
      <c r="TX5" s="17"/>
      <c r="TY5" s="17"/>
      <c r="TZ5" s="17"/>
      <c r="UA5" s="17"/>
      <c r="UB5" s="17"/>
      <c r="UC5" s="17"/>
      <c r="UD5" s="17"/>
      <c r="UE5" s="17"/>
      <c r="UF5" s="17"/>
      <c r="UG5" s="17"/>
      <c r="UH5" s="17"/>
      <c r="UI5" s="17"/>
      <c r="UJ5" s="17"/>
      <c r="UK5" s="17"/>
      <c r="UL5" s="17"/>
      <c r="UM5" s="17"/>
      <c r="UN5" s="17"/>
      <c r="UO5" s="17"/>
      <c r="UP5" s="17"/>
      <c r="UQ5" s="17"/>
      <c r="UR5" s="17"/>
      <c r="US5" s="17"/>
      <c r="UT5" s="17"/>
      <c r="UU5" s="17"/>
      <c r="UV5" s="17"/>
      <c r="UW5" s="17"/>
      <c r="UX5" s="17"/>
      <c r="UY5" s="17"/>
      <c r="UZ5" s="17"/>
      <c r="VA5" s="17"/>
      <c r="VB5" s="17"/>
      <c r="VC5" s="17"/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17"/>
      <c r="WG5" s="17"/>
      <c r="WH5" s="17"/>
      <c r="WI5" s="17"/>
      <c r="WJ5" s="17"/>
      <c r="WK5" s="17"/>
      <c r="WL5" s="17"/>
      <c r="WM5" s="17"/>
      <c r="WN5" s="17"/>
      <c r="WO5" s="17"/>
      <c r="WP5" s="17"/>
      <c r="WQ5" s="17"/>
      <c r="WR5" s="17"/>
      <c r="WS5" s="17"/>
      <c r="WT5" s="17"/>
      <c r="WU5" s="17"/>
      <c r="WV5" s="17"/>
      <c r="WW5" s="17"/>
      <c r="WX5" s="17"/>
      <c r="WY5" s="17"/>
      <c r="WZ5" s="17"/>
      <c r="XA5" s="17"/>
      <c r="XB5" s="17"/>
      <c r="XC5" s="17"/>
      <c r="XD5" s="17"/>
      <c r="XE5" s="17"/>
      <c r="XF5" s="17"/>
      <c r="XG5" s="17"/>
      <c r="XH5" s="17"/>
      <c r="XI5" s="17"/>
      <c r="XJ5" s="17"/>
      <c r="XK5" s="17"/>
      <c r="XL5" s="17"/>
      <c r="XM5" s="17"/>
      <c r="XN5" s="17"/>
      <c r="XO5" s="17"/>
      <c r="XP5" s="17"/>
      <c r="XQ5" s="17"/>
      <c r="XR5" s="17"/>
      <c r="XS5" s="17"/>
      <c r="XT5" s="17"/>
      <c r="XU5" s="17"/>
      <c r="XV5" s="17"/>
      <c r="XW5" s="17"/>
      <c r="XX5" s="17"/>
      <c r="XY5" s="17"/>
      <c r="XZ5" s="17"/>
      <c r="YA5" s="17"/>
      <c r="YB5" s="17"/>
      <c r="YC5" s="17"/>
      <c r="YD5" s="17"/>
      <c r="YE5" s="17"/>
      <c r="YF5" s="17"/>
      <c r="YG5" s="17"/>
      <c r="YH5" s="17"/>
      <c r="YI5" s="17"/>
      <c r="YJ5" s="17"/>
      <c r="YK5" s="17"/>
      <c r="YL5" s="17"/>
      <c r="YM5" s="17"/>
      <c r="YN5" s="17"/>
      <c r="YO5" s="17"/>
      <c r="YP5" s="17"/>
      <c r="YQ5" s="17"/>
      <c r="YR5" s="17"/>
      <c r="YS5" s="17"/>
      <c r="YT5" s="17"/>
      <c r="YU5" s="17"/>
      <c r="YV5" s="17"/>
      <c r="YW5" s="17"/>
      <c r="YX5" s="17"/>
      <c r="YY5" s="17"/>
      <c r="YZ5" s="17"/>
      <c r="ZA5" s="17"/>
      <c r="ZB5" s="17"/>
      <c r="ZC5" s="17"/>
      <c r="ZD5" s="17"/>
      <c r="ZE5" s="17"/>
      <c r="ZF5" s="17"/>
      <c r="ZG5" s="17"/>
      <c r="ZH5" s="17"/>
      <c r="ZI5" s="17"/>
      <c r="ZJ5" s="17"/>
      <c r="ZK5" s="17"/>
      <c r="ZL5" s="17"/>
      <c r="ZM5" s="17"/>
      <c r="ZN5" s="17"/>
      <c r="ZO5" s="17"/>
      <c r="ZP5" s="17"/>
      <c r="ZQ5" s="17"/>
      <c r="ZR5" s="17"/>
      <c r="ZS5" s="17"/>
      <c r="ZT5" s="17"/>
      <c r="ZU5" s="17"/>
      <c r="ZV5" s="17"/>
      <c r="ZW5" s="17"/>
      <c r="ZX5" s="17"/>
      <c r="ZY5" s="17"/>
      <c r="ZZ5" s="17"/>
      <c r="AAA5" s="17"/>
      <c r="AAB5" s="17"/>
      <c r="AAC5" s="17"/>
      <c r="AAD5" s="17"/>
      <c r="AAE5" s="17"/>
      <c r="AAF5" s="17"/>
      <c r="AAG5" s="17"/>
      <c r="AAH5" s="17"/>
      <c r="AAI5" s="17"/>
      <c r="AAJ5" s="17"/>
      <c r="AAK5" s="17"/>
      <c r="AAL5" s="17"/>
      <c r="AAM5" s="17"/>
      <c r="AAN5" s="17"/>
      <c r="AAO5" s="17"/>
      <c r="AAP5" s="17"/>
      <c r="AAQ5" s="17"/>
      <c r="AAR5" s="17"/>
      <c r="AAS5" s="17"/>
      <c r="AAT5" s="17"/>
      <c r="AAU5" s="17"/>
      <c r="AAV5" s="17"/>
      <c r="AAW5" s="17"/>
      <c r="AAX5" s="17"/>
      <c r="AAY5" s="17"/>
      <c r="AAZ5" s="17"/>
      <c r="ABA5" s="17"/>
      <c r="ABB5" s="17"/>
      <c r="ABC5" s="17"/>
      <c r="ABD5" s="17"/>
      <c r="ABE5" s="17"/>
      <c r="ABF5" s="17"/>
      <c r="ABG5" s="17"/>
      <c r="ABH5" s="17"/>
      <c r="ABI5" s="17"/>
      <c r="ABJ5" s="17"/>
      <c r="ABK5" s="17"/>
      <c r="ABL5" s="17"/>
      <c r="ABM5" s="17"/>
      <c r="ABN5" s="17"/>
      <c r="ABO5" s="17"/>
      <c r="ABP5" s="17"/>
      <c r="ABQ5" s="17"/>
      <c r="ABR5" s="17"/>
      <c r="ABS5" s="17"/>
      <c r="ABT5" s="17"/>
      <c r="ABU5" s="17"/>
      <c r="ABV5" s="17"/>
      <c r="ABW5" s="17"/>
      <c r="ABX5" s="17"/>
      <c r="ABY5" s="17"/>
      <c r="ABZ5" s="17"/>
      <c r="ACA5" s="17"/>
      <c r="ACB5" s="17"/>
      <c r="ACC5" s="17"/>
      <c r="ACD5" s="17"/>
      <c r="ACE5" s="17"/>
      <c r="ACF5" s="17"/>
      <c r="ACG5" s="17"/>
      <c r="ACH5" s="17"/>
      <c r="ACI5" s="17"/>
      <c r="ACJ5" s="17"/>
      <c r="ACK5" s="17"/>
      <c r="ACL5" s="17"/>
      <c r="ACM5" s="17"/>
      <c r="ACN5" s="17"/>
      <c r="ACO5" s="17"/>
      <c r="ACP5" s="17"/>
      <c r="ACQ5" s="17"/>
      <c r="ACR5" s="17"/>
      <c r="ACS5" s="17"/>
      <c r="ACT5" s="17"/>
      <c r="ACU5" s="17"/>
      <c r="ACV5" s="17"/>
      <c r="ACW5" s="17"/>
      <c r="ACX5" s="17"/>
      <c r="ACY5" s="17"/>
      <c r="ACZ5" s="17"/>
      <c r="ADA5" s="17"/>
      <c r="ADB5" s="17"/>
      <c r="ADC5" s="17"/>
      <c r="ADD5" s="17"/>
      <c r="ADE5" s="17"/>
      <c r="ADF5" s="17"/>
      <c r="ADG5" s="17"/>
      <c r="ADH5" s="17"/>
      <c r="ADI5" s="17"/>
      <c r="ADJ5" s="17"/>
      <c r="ADK5" s="17"/>
      <c r="ADL5" s="17"/>
      <c r="ADM5" s="17"/>
      <c r="ADN5" s="17"/>
      <c r="ADO5" s="17"/>
      <c r="ADP5" s="17"/>
      <c r="ADQ5" s="17"/>
      <c r="ADR5" s="17"/>
      <c r="ADS5" s="17"/>
      <c r="ADT5" s="17"/>
      <c r="ADU5" s="17"/>
      <c r="ADV5" s="17"/>
      <c r="ADW5" s="17"/>
      <c r="ADX5" s="17"/>
      <c r="ADY5" s="17"/>
      <c r="ADZ5" s="17"/>
      <c r="AEA5" s="17"/>
      <c r="AEB5" s="17"/>
      <c r="AEC5" s="17"/>
      <c r="AED5" s="17"/>
      <c r="AEE5" s="17"/>
      <c r="AEF5" s="17"/>
      <c r="AEG5" s="17"/>
      <c r="AEH5" s="17"/>
      <c r="AEI5" s="17"/>
      <c r="AEJ5" s="17"/>
      <c r="AEK5" s="17"/>
      <c r="AEL5" s="17"/>
      <c r="AEM5" s="17"/>
      <c r="AEN5" s="17"/>
      <c r="AEO5" s="17"/>
      <c r="AEP5" s="17"/>
      <c r="AEQ5" s="17"/>
      <c r="AER5" s="17"/>
      <c r="AES5" s="17"/>
      <c r="AET5" s="17"/>
      <c r="AEU5" s="17"/>
      <c r="AEV5" s="17"/>
      <c r="AEW5" s="17"/>
      <c r="AEX5" s="17"/>
      <c r="AEY5" s="17"/>
      <c r="AEZ5" s="17"/>
      <c r="AFA5" s="17"/>
      <c r="AFB5" s="17"/>
      <c r="AFC5" s="17"/>
      <c r="AFD5" s="17"/>
      <c r="AFE5" s="17"/>
      <c r="AFF5" s="17"/>
      <c r="AFG5" s="17"/>
      <c r="AFH5" s="17"/>
      <c r="AFI5" s="17"/>
      <c r="AFJ5" s="17"/>
      <c r="AFK5" s="17"/>
      <c r="AFL5" s="17"/>
      <c r="AFM5" s="17"/>
      <c r="AFN5" s="17"/>
      <c r="AFO5" s="17"/>
      <c r="AFP5" s="17"/>
      <c r="AFQ5" s="17"/>
      <c r="AFR5" s="17"/>
      <c r="AFS5" s="17"/>
      <c r="AFT5" s="17"/>
      <c r="AFU5" s="17"/>
      <c r="AFV5" s="17"/>
      <c r="AFW5" s="17"/>
      <c r="AFX5" s="17"/>
      <c r="AFY5" s="17"/>
      <c r="AFZ5" s="17"/>
      <c r="AGA5" s="17"/>
      <c r="AGB5" s="17"/>
      <c r="AGC5" s="17"/>
      <c r="AGD5" s="17"/>
      <c r="AGE5" s="17"/>
      <c r="AGF5" s="17"/>
      <c r="AGG5" s="17"/>
      <c r="AGH5" s="17"/>
      <c r="AGI5" s="17"/>
      <c r="AGJ5" s="17"/>
      <c r="AGK5" s="17"/>
      <c r="AGL5" s="17"/>
      <c r="AGM5" s="17"/>
      <c r="AGN5" s="17"/>
      <c r="AGO5" s="17"/>
      <c r="AGP5" s="17"/>
      <c r="AGQ5" s="17"/>
      <c r="AGR5" s="17"/>
      <c r="AGS5" s="17"/>
      <c r="AGT5" s="17"/>
      <c r="AGU5" s="17"/>
      <c r="AGV5" s="17"/>
      <c r="AGW5" s="17"/>
      <c r="AGX5" s="17"/>
      <c r="AGY5" s="17"/>
      <c r="AGZ5" s="17"/>
      <c r="AHA5" s="17"/>
      <c r="AHB5" s="17"/>
      <c r="AHC5" s="17"/>
      <c r="AHD5" s="17"/>
      <c r="AHE5" s="17"/>
      <c r="AHF5" s="17"/>
      <c r="AHG5" s="17"/>
      <c r="AHH5" s="17"/>
      <c r="AHI5" s="17"/>
      <c r="AHJ5" s="17"/>
      <c r="AHK5" s="17"/>
      <c r="AHL5" s="17"/>
      <c r="AHM5" s="17"/>
      <c r="AHN5" s="17"/>
      <c r="AHO5" s="17"/>
      <c r="AHP5" s="17"/>
      <c r="AHQ5" s="17"/>
      <c r="AHR5" s="17"/>
      <c r="AHS5" s="17"/>
      <c r="AHT5" s="17"/>
      <c r="AHU5" s="17"/>
      <c r="AHV5" s="17"/>
      <c r="AHW5" s="17"/>
      <c r="AHX5" s="17"/>
      <c r="AHY5" s="17"/>
      <c r="AHZ5" s="17"/>
      <c r="AIA5" s="17"/>
      <c r="AIB5" s="17"/>
      <c r="AIC5" s="17"/>
      <c r="AID5" s="17"/>
      <c r="AIE5" s="17"/>
      <c r="AIF5" s="17"/>
      <c r="AIG5" s="17"/>
      <c r="AIH5" s="17"/>
      <c r="AII5" s="17"/>
      <c r="AIJ5" s="17"/>
      <c r="AIK5" s="17"/>
      <c r="AIL5" s="17"/>
      <c r="AIM5" s="17"/>
      <c r="AIN5" s="17"/>
      <c r="AIO5" s="17"/>
      <c r="AIP5" s="17"/>
      <c r="AIQ5" s="17"/>
      <c r="AIR5" s="17"/>
      <c r="AIS5" s="17"/>
      <c r="AIT5" s="17"/>
      <c r="AIU5" s="17"/>
      <c r="AIV5" s="17"/>
      <c r="AIW5" s="17"/>
      <c r="AIX5" s="17"/>
      <c r="AIY5" s="17"/>
      <c r="AIZ5" s="17"/>
      <c r="AJA5" s="17"/>
      <c r="AJB5" s="17"/>
      <c r="AJC5" s="17"/>
      <c r="AJD5" s="17"/>
      <c r="AJE5" s="17"/>
      <c r="AJF5" s="17"/>
      <c r="AJG5" s="17"/>
      <c r="AJH5" s="17"/>
      <c r="AJI5" s="17"/>
      <c r="AJJ5" s="17"/>
      <c r="AJK5" s="17"/>
      <c r="AJL5" s="17"/>
      <c r="AJM5" s="17"/>
      <c r="AJN5" s="17"/>
      <c r="AJO5" s="17"/>
      <c r="AJP5" s="17"/>
      <c r="AJQ5" s="17"/>
      <c r="AJR5" s="17"/>
      <c r="AJS5" s="17"/>
      <c r="AJT5" s="17"/>
      <c r="AJU5" s="17"/>
      <c r="AJV5" s="17"/>
      <c r="AJW5" s="17"/>
      <c r="AJX5" s="17"/>
      <c r="AJY5" s="17"/>
      <c r="AJZ5" s="17"/>
      <c r="AKA5" s="17"/>
      <c r="AKB5" s="17"/>
      <c r="AKC5" s="17"/>
      <c r="AKD5" s="17"/>
      <c r="AKE5" s="17"/>
      <c r="AKF5" s="17"/>
      <c r="AKG5" s="17"/>
      <c r="AKH5" s="17"/>
      <c r="AKI5" s="17"/>
      <c r="AKJ5" s="17"/>
      <c r="AKK5" s="17"/>
      <c r="AKL5" s="17"/>
      <c r="AKM5" s="17"/>
      <c r="AKN5" s="17"/>
      <c r="AKO5" s="17"/>
      <c r="AKP5" s="17"/>
      <c r="AKQ5" s="17"/>
      <c r="AKR5" s="17"/>
      <c r="AKS5" s="17"/>
      <c r="AKT5" s="17"/>
      <c r="AKU5" s="17"/>
      <c r="AKV5" s="17"/>
      <c r="AKW5" s="17"/>
      <c r="AKX5" s="17"/>
      <c r="AKY5" s="17"/>
      <c r="AKZ5" s="17"/>
      <c r="ALA5" s="17"/>
      <c r="ALB5" s="17"/>
      <c r="ALC5" s="17"/>
      <c r="ALD5" s="17"/>
      <c r="ALE5" s="17"/>
      <c r="ALF5" s="17"/>
      <c r="ALG5" s="17"/>
      <c r="ALH5" s="17"/>
      <c r="ALI5" s="17"/>
      <c r="ALJ5" s="17"/>
      <c r="ALK5" s="17"/>
      <c r="ALL5" s="17"/>
      <c r="ALM5" s="17"/>
      <c r="ALN5" s="17"/>
      <c r="ALO5" s="17"/>
      <c r="ALP5" s="17"/>
      <c r="ALQ5" s="17"/>
      <c r="ALR5" s="17"/>
      <c r="ALS5" s="17"/>
      <c r="ALT5" s="17"/>
      <c r="ALU5" s="17"/>
      <c r="ALV5" s="17"/>
      <c r="ALW5" s="17"/>
      <c r="ALX5" s="17"/>
      <c r="ALY5" s="17"/>
      <c r="ALZ5" s="17"/>
      <c r="AMA5" s="17"/>
      <c r="AMB5" s="17"/>
      <c r="AMC5" s="17"/>
      <c r="AMD5" s="17"/>
      <c r="AME5" s="17"/>
      <c r="AMF5" s="17"/>
      <c r="AMG5" s="17"/>
      <c r="AMH5" s="17"/>
      <c r="AMI5" s="17"/>
    </row>
    <row r="6" spans="1:1023" s="18" customFormat="1" ht="11.25" x14ac:dyDescent="0.2">
      <c r="A6" s="15"/>
      <c r="B6" s="24"/>
      <c r="C6" s="29"/>
      <c r="D6" s="26"/>
      <c r="E6" s="27" t="s">
        <v>120</v>
      </c>
      <c r="F6" s="26">
        <v>2</v>
      </c>
      <c r="G6" s="30">
        <v>203</v>
      </c>
      <c r="H6" s="31">
        <f>Table1[[#This Row],[LENGTH (in.)]]*Table1[[#This Row],[QTY.]]</f>
        <v>406</v>
      </c>
      <c r="I6" s="16"/>
      <c r="J6" s="16"/>
      <c r="K6" s="16"/>
      <c r="L6" s="17"/>
      <c r="M6" s="23" t="s">
        <v>77</v>
      </c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17"/>
      <c r="GO6" s="17"/>
      <c r="GP6" s="17"/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17"/>
      <c r="KP6" s="17"/>
      <c r="KQ6" s="17"/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17"/>
      <c r="MT6" s="17"/>
      <c r="MU6" s="17"/>
      <c r="MV6" s="17"/>
      <c r="MW6" s="17"/>
      <c r="MX6" s="17"/>
      <c r="MY6" s="17"/>
      <c r="MZ6" s="17"/>
      <c r="NA6" s="17"/>
      <c r="NB6" s="17"/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17"/>
      <c r="OX6" s="17"/>
      <c r="OY6" s="17"/>
      <c r="OZ6" s="17"/>
      <c r="PA6" s="17"/>
      <c r="PB6" s="17"/>
      <c r="PC6" s="17"/>
      <c r="PD6" s="17"/>
      <c r="PE6" s="17"/>
      <c r="PF6" s="17"/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17"/>
      <c r="RA6" s="17"/>
      <c r="RB6" s="17"/>
      <c r="RC6" s="17"/>
      <c r="RD6" s="17"/>
      <c r="RE6" s="17"/>
      <c r="RF6" s="17"/>
      <c r="RG6" s="17"/>
      <c r="RH6" s="17"/>
      <c r="RI6" s="17"/>
      <c r="RJ6" s="17"/>
      <c r="RK6" s="17"/>
      <c r="RL6" s="17"/>
      <c r="RM6" s="17"/>
      <c r="RN6" s="17"/>
      <c r="RO6" s="17"/>
      <c r="RP6" s="17"/>
      <c r="RQ6" s="17"/>
      <c r="RR6" s="17"/>
      <c r="RS6" s="17"/>
      <c r="RT6" s="17"/>
      <c r="RU6" s="17"/>
      <c r="RV6" s="17"/>
      <c r="RW6" s="17"/>
      <c r="RX6" s="17"/>
      <c r="RY6" s="17"/>
      <c r="RZ6" s="17"/>
      <c r="SA6" s="17"/>
      <c r="SB6" s="17"/>
      <c r="SC6" s="17"/>
      <c r="SD6" s="17"/>
      <c r="SE6" s="17"/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17"/>
      <c r="TQ6" s="17"/>
      <c r="TR6" s="17"/>
      <c r="TS6" s="17"/>
      <c r="TT6" s="17"/>
      <c r="TU6" s="17"/>
      <c r="TV6" s="17"/>
      <c r="TW6" s="17"/>
      <c r="TX6" s="17"/>
      <c r="TY6" s="17"/>
      <c r="TZ6" s="17"/>
      <c r="UA6" s="17"/>
      <c r="UB6" s="17"/>
      <c r="UC6" s="17"/>
      <c r="UD6" s="17"/>
      <c r="UE6" s="17"/>
      <c r="UF6" s="17"/>
      <c r="UG6" s="17"/>
      <c r="UH6" s="17"/>
      <c r="UI6" s="17"/>
      <c r="UJ6" s="17"/>
      <c r="UK6" s="17"/>
      <c r="UL6" s="17"/>
      <c r="UM6" s="17"/>
      <c r="UN6" s="17"/>
      <c r="UO6" s="17"/>
      <c r="UP6" s="17"/>
      <c r="UQ6" s="17"/>
      <c r="UR6" s="17"/>
      <c r="US6" s="17"/>
      <c r="UT6" s="17"/>
      <c r="UU6" s="17"/>
      <c r="UV6" s="17"/>
      <c r="UW6" s="17"/>
      <c r="UX6" s="17"/>
      <c r="UY6" s="17"/>
      <c r="UZ6" s="17"/>
      <c r="VA6" s="17"/>
      <c r="VB6" s="17"/>
      <c r="VC6" s="17"/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17"/>
      <c r="WG6" s="17"/>
      <c r="WH6" s="17"/>
      <c r="WI6" s="17"/>
      <c r="WJ6" s="17"/>
      <c r="WK6" s="17"/>
      <c r="WL6" s="17"/>
      <c r="WM6" s="17"/>
      <c r="WN6" s="17"/>
      <c r="WO6" s="17"/>
      <c r="WP6" s="17"/>
      <c r="WQ6" s="17"/>
      <c r="WR6" s="17"/>
      <c r="WS6" s="17"/>
      <c r="WT6" s="17"/>
      <c r="WU6" s="17"/>
      <c r="WV6" s="17"/>
      <c r="WW6" s="17"/>
      <c r="WX6" s="17"/>
      <c r="WY6" s="17"/>
      <c r="WZ6" s="17"/>
      <c r="XA6" s="17"/>
      <c r="XB6" s="17"/>
      <c r="XC6" s="17"/>
      <c r="XD6" s="17"/>
      <c r="XE6" s="17"/>
      <c r="XF6" s="17"/>
      <c r="XG6" s="17"/>
      <c r="XH6" s="17"/>
      <c r="XI6" s="17"/>
      <c r="XJ6" s="17"/>
      <c r="XK6" s="17"/>
      <c r="XL6" s="17"/>
      <c r="XM6" s="17"/>
      <c r="XN6" s="17"/>
      <c r="XO6" s="17"/>
      <c r="XP6" s="17"/>
      <c r="XQ6" s="17"/>
      <c r="XR6" s="17"/>
      <c r="XS6" s="17"/>
      <c r="XT6" s="17"/>
      <c r="XU6" s="17"/>
      <c r="XV6" s="17"/>
      <c r="XW6" s="17"/>
      <c r="XX6" s="17"/>
      <c r="XY6" s="17"/>
      <c r="XZ6" s="17"/>
      <c r="YA6" s="17"/>
      <c r="YB6" s="17"/>
      <c r="YC6" s="17"/>
      <c r="YD6" s="17"/>
      <c r="YE6" s="17"/>
      <c r="YF6" s="17"/>
      <c r="YG6" s="17"/>
      <c r="YH6" s="17"/>
      <c r="YI6" s="17"/>
      <c r="YJ6" s="17"/>
      <c r="YK6" s="17"/>
      <c r="YL6" s="17"/>
      <c r="YM6" s="17"/>
      <c r="YN6" s="17"/>
      <c r="YO6" s="17"/>
      <c r="YP6" s="17"/>
      <c r="YQ6" s="17"/>
      <c r="YR6" s="17"/>
      <c r="YS6" s="17"/>
      <c r="YT6" s="17"/>
      <c r="YU6" s="17"/>
      <c r="YV6" s="17"/>
      <c r="YW6" s="17"/>
      <c r="YX6" s="17"/>
      <c r="YY6" s="17"/>
      <c r="YZ6" s="17"/>
      <c r="ZA6" s="17"/>
      <c r="ZB6" s="17"/>
      <c r="ZC6" s="17"/>
      <c r="ZD6" s="17"/>
      <c r="ZE6" s="17"/>
      <c r="ZF6" s="17"/>
      <c r="ZG6" s="17"/>
      <c r="ZH6" s="17"/>
      <c r="ZI6" s="17"/>
      <c r="ZJ6" s="17"/>
      <c r="ZK6" s="17"/>
      <c r="ZL6" s="17"/>
      <c r="ZM6" s="17"/>
      <c r="ZN6" s="17"/>
      <c r="ZO6" s="17"/>
      <c r="ZP6" s="17"/>
      <c r="ZQ6" s="17"/>
      <c r="ZR6" s="17"/>
      <c r="ZS6" s="17"/>
      <c r="ZT6" s="17"/>
      <c r="ZU6" s="17"/>
      <c r="ZV6" s="17"/>
      <c r="ZW6" s="17"/>
      <c r="ZX6" s="17"/>
      <c r="ZY6" s="17"/>
      <c r="ZZ6" s="17"/>
      <c r="AAA6" s="17"/>
      <c r="AAB6" s="17"/>
      <c r="AAC6" s="17"/>
      <c r="AAD6" s="17"/>
      <c r="AAE6" s="17"/>
      <c r="AAF6" s="17"/>
      <c r="AAG6" s="17"/>
      <c r="AAH6" s="17"/>
      <c r="AAI6" s="17"/>
      <c r="AAJ6" s="17"/>
      <c r="AAK6" s="17"/>
      <c r="AAL6" s="17"/>
      <c r="AAM6" s="17"/>
      <c r="AAN6" s="17"/>
      <c r="AAO6" s="17"/>
      <c r="AAP6" s="17"/>
      <c r="AAQ6" s="17"/>
      <c r="AAR6" s="17"/>
      <c r="AAS6" s="17"/>
      <c r="AAT6" s="17"/>
      <c r="AAU6" s="17"/>
      <c r="AAV6" s="17"/>
      <c r="AAW6" s="17"/>
      <c r="AAX6" s="17"/>
      <c r="AAY6" s="17"/>
      <c r="AAZ6" s="17"/>
      <c r="ABA6" s="17"/>
      <c r="ABB6" s="17"/>
      <c r="ABC6" s="17"/>
      <c r="ABD6" s="17"/>
      <c r="ABE6" s="17"/>
      <c r="ABF6" s="17"/>
      <c r="ABG6" s="17"/>
      <c r="ABH6" s="17"/>
      <c r="ABI6" s="17"/>
      <c r="ABJ6" s="17"/>
      <c r="ABK6" s="17"/>
      <c r="ABL6" s="17"/>
      <c r="ABM6" s="17"/>
      <c r="ABN6" s="17"/>
      <c r="ABO6" s="17"/>
      <c r="ABP6" s="17"/>
      <c r="ABQ6" s="17"/>
      <c r="ABR6" s="17"/>
      <c r="ABS6" s="17"/>
      <c r="ABT6" s="17"/>
      <c r="ABU6" s="17"/>
      <c r="ABV6" s="17"/>
      <c r="ABW6" s="17"/>
      <c r="ABX6" s="17"/>
      <c r="ABY6" s="17"/>
      <c r="ABZ6" s="17"/>
      <c r="ACA6" s="17"/>
      <c r="ACB6" s="17"/>
      <c r="ACC6" s="17"/>
      <c r="ACD6" s="17"/>
      <c r="ACE6" s="17"/>
      <c r="ACF6" s="17"/>
      <c r="ACG6" s="17"/>
      <c r="ACH6" s="17"/>
      <c r="ACI6" s="17"/>
      <c r="ACJ6" s="17"/>
      <c r="ACK6" s="17"/>
      <c r="ACL6" s="17"/>
      <c r="ACM6" s="17"/>
      <c r="ACN6" s="17"/>
      <c r="ACO6" s="17"/>
      <c r="ACP6" s="17"/>
      <c r="ACQ6" s="17"/>
      <c r="ACR6" s="17"/>
      <c r="ACS6" s="17"/>
      <c r="ACT6" s="17"/>
      <c r="ACU6" s="17"/>
      <c r="ACV6" s="17"/>
      <c r="ACW6" s="17"/>
      <c r="ACX6" s="17"/>
      <c r="ACY6" s="17"/>
      <c r="ACZ6" s="17"/>
      <c r="ADA6" s="17"/>
      <c r="ADB6" s="17"/>
      <c r="ADC6" s="17"/>
      <c r="ADD6" s="17"/>
      <c r="ADE6" s="17"/>
      <c r="ADF6" s="17"/>
      <c r="ADG6" s="17"/>
      <c r="ADH6" s="17"/>
      <c r="ADI6" s="17"/>
      <c r="ADJ6" s="17"/>
      <c r="ADK6" s="17"/>
      <c r="ADL6" s="17"/>
      <c r="ADM6" s="17"/>
      <c r="ADN6" s="17"/>
      <c r="ADO6" s="17"/>
      <c r="ADP6" s="17"/>
      <c r="ADQ6" s="17"/>
      <c r="ADR6" s="17"/>
      <c r="ADS6" s="17"/>
      <c r="ADT6" s="17"/>
      <c r="ADU6" s="17"/>
      <c r="ADV6" s="17"/>
      <c r="ADW6" s="17"/>
      <c r="ADX6" s="17"/>
      <c r="ADY6" s="17"/>
      <c r="ADZ6" s="17"/>
      <c r="AEA6" s="17"/>
      <c r="AEB6" s="17"/>
      <c r="AEC6" s="17"/>
      <c r="AED6" s="17"/>
      <c r="AEE6" s="17"/>
      <c r="AEF6" s="17"/>
      <c r="AEG6" s="17"/>
      <c r="AEH6" s="17"/>
      <c r="AEI6" s="17"/>
      <c r="AEJ6" s="17"/>
      <c r="AEK6" s="17"/>
      <c r="AEL6" s="17"/>
      <c r="AEM6" s="17"/>
      <c r="AEN6" s="17"/>
      <c r="AEO6" s="17"/>
      <c r="AEP6" s="17"/>
      <c r="AEQ6" s="17"/>
      <c r="AER6" s="17"/>
      <c r="AES6" s="17"/>
      <c r="AET6" s="17"/>
      <c r="AEU6" s="17"/>
      <c r="AEV6" s="17"/>
      <c r="AEW6" s="17"/>
      <c r="AEX6" s="17"/>
      <c r="AEY6" s="17"/>
      <c r="AEZ6" s="17"/>
      <c r="AFA6" s="17"/>
      <c r="AFB6" s="17"/>
      <c r="AFC6" s="17"/>
      <c r="AFD6" s="17"/>
      <c r="AFE6" s="17"/>
      <c r="AFF6" s="17"/>
      <c r="AFG6" s="17"/>
      <c r="AFH6" s="17"/>
      <c r="AFI6" s="17"/>
      <c r="AFJ6" s="17"/>
      <c r="AFK6" s="17"/>
      <c r="AFL6" s="17"/>
      <c r="AFM6" s="17"/>
      <c r="AFN6" s="17"/>
      <c r="AFO6" s="17"/>
      <c r="AFP6" s="17"/>
      <c r="AFQ6" s="17"/>
      <c r="AFR6" s="17"/>
      <c r="AFS6" s="17"/>
      <c r="AFT6" s="17"/>
      <c r="AFU6" s="17"/>
      <c r="AFV6" s="17"/>
      <c r="AFW6" s="17"/>
      <c r="AFX6" s="17"/>
      <c r="AFY6" s="17"/>
      <c r="AFZ6" s="17"/>
      <c r="AGA6" s="17"/>
      <c r="AGB6" s="17"/>
      <c r="AGC6" s="17"/>
      <c r="AGD6" s="17"/>
      <c r="AGE6" s="17"/>
      <c r="AGF6" s="17"/>
      <c r="AGG6" s="17"/>
      <c r="AGH6" s="17"/>
      <c r="AGI6" s="17"/>
      <c r="AGJ6" s="17"/>
      <c r="AGK6" s="17"/>
      <c r="AGL6" s="17"/>
      <c r="AGM6" s="17"/>
      <c r="AGN6" s="17"/>
      <c r="AGO6" s="17"/>
      <c r="AGP6" s="17"/>
      <c r="AGQ6" s="17"/>
      <c r="AGR6" s="17"/>
      <c r="AGS6" s="17"/>
      <c r="AGT6" s="17"/>
      <c r="AGU6" s="17"/>
      <c r="AGV6" s="17"/>
      <c r="AGW6" s="17"/>
      <c r="AGX6" s="17"/>
      <c r="AGY6" s="17"/>
      <c r="AGZ6" s="17"/>
      <c r="AHA6" s="17"/>
      <c r="AHB6" s="17"/>
      <c r="AHC6" s="17"/>
      <c r="AHD6" s="17"/>
      <c r="AHE6" s="17"/>
      <c r="AHF6" s="17"/>
      <c r="AHG6" s="17"/>
      <c r="AHH6" s="17"/>
      <c r="AHI6" s="17"/>
      <c r="AHJ6" s="17"/>
      <c r="AHK6" s="17"/>
      <c r="AHL6" s="17"/>
      <c r="AHM6" s="17"/>
      <c r="AHN6" s="17"/>
      <c r="AHO6" s="17"/>
      <c r="AHP6" s="17"/>
      <c r="AHQ6" s="17"/>
      <c r="AHR6" s="17"/>
      <c r="AHS6" s="17"/>
      <c r="AHT6" s="17"/>
      <c r="AHU6" s="17"/>
      <c r="AHV6" s="17"/>
      <c r="AHW6" s="17"/>
      <c r="AHX6" s="17"/>
      <c r="AHY6" s="17"/>
      <c r="AHZ6" s="17"/>
      <c r="AIA6" s="17"/>
      <c r="AIB6" s="17"/>
      <c r="AIC6" s="17"/>
      <c r="AID6" s="17"/>
      <c r="AIE6" s="17"/>
      <c r="AIF6" s="17"/>
      <c r="AIG6" s="17"/>
      <c r="AIH6" s="17"/>
      <c r="AII6" s="17"/>
      <c r="AIJ6" s="17"/>
      <c r="AIK6" s="17"/>
      <c r="AIL6" s="17"/>
      <c r="AIM6" s="17"/>
      <c r="AIN6" s="17"/>
      <c r="AIO6" s="17"/>
      <c r="AIP6" s="17"/>
      <c r="AIQ6" s="17"/>
      <c r="AIR6" s="17"/>
      <c r="AIS6" s="17"/>
      <c r="AIT6" s="17"/>
      <c r="AIU6" s="17"/>
      <c r="AIV6" s="17"/>
      <c r="AIW6" s="17"/>
      <c r="AIX6" s="17"/>
      <c r="AIY6" s="17"/>
      <c r="AIZ6" s="17"/>
      <c r="AJA6" s="17"/>
      <c r="AJB6" s="17"/>
      <c r="AJC6" s="17"/>
      <c r="AJD6" s="17"/>
      <c r="AJE6" s="17"/>
      <c r="AJF6" s="17"/>
      <c r="AJG6" s="17"/>
      <c r="AJH6" s="17"/>
      <c r="AJI6" s="17"/>
      <c r="AJJ6" s="17"/>
      <c r="AJK6" s="17"/>
      <c r="AJL6" s="17"/>
      <c r="AJM6" s="17"/>
      <c r="AJN6" s="17"/>
      <c r="AJO6" s="17"/>
      <c r="AJP6" s="17"/>
      <c r="AJQ6" s="17"/>
      <c r="AJR6" s="17"/>
      <c r="AJS6" s="17"/>
      <c r="AJT6" s="17"/>
      <c r="AJU6" s="17"/>
      <c r="AJV6" s="17"/>
      <c r="AJW6" s="17"/>
      <c r="AJX6" s="17"/>
      <c r="AJY6" s="17"/>
      <c r="AJZ6" s="17"/>
      <c r="AKA6" s="17"/>
      <c r="AKB6" s="17"/>
      <c r="AKC6" s="17"/>
      <c r="AKD6" s="17"/>
      <c r="AKE6" s="17"/>
      <c r="AKF6" s="17"/>
      <c r="AKG6" s="17"/>
      <c r="AKH6" s="17"/>
      <c r="AKI6" s="17"/>
      <c r="AKJ6" s="17"/>
      <c r="AKK6" s="17"/>
      <c r="AKL6" s="17"/>
      <c r="AKM6" s="17"/>
      <c r="AKN6" s="17"/>
      <c r="AKO6" s="17"/>
      <c r="AKP6" s="17"/>
      <c r="AKQ6" s="17"/>
      <c r="AKR6" s="17"/>
      <c r="AKS6" s="17"/>
      <c r="AKT6" s="17"/>
      <c r="AKU6" s="17"/>
      <c r="AKV6" s="17"/>
      <c r="AKW6" s="17"/>
      <c r="AKX6" s="17"/>
      <c r="AKY6" s="17"/>
      <c r="AKZ6" s="17"/>
      <c r="ALA6" s="17"/>
      <c r="ALB6" s="17"/>
      <c r="ALC6" s="17"/>
      <c r="ALD6" s="17"/>
      <c r="ALE6" s="17"/>
      <c r="ALF6" s="17"/>
      <c r="ALG6" s="17"/>
      <c r="ALH6" s="17"/>
      <c r="ALI6" s="17"/>
      <c r="ALJ6" s="17"/>
      <c r="ALK6" s="17"/>
      <c r="ALL6" s="17"/>
      <c r="ALM6" s="17"/>
      <c r="ALN6" s="17"/>
      <c r="ALO6" s="17"/>
      <c r="ALP6" s="17"/>
      <c r="ALQ6" s="17"/>
      <c r="ALR6" s="17"/>
      <c r="ALS6" s="17"/>
      <c r="ALT6" s="17"/>
      <c r="ALU6" s="17"/>
      <c r="ALV6" s="17"/>
      <c r="ALW6" s="17"/>
      <c r="ALX6" s="17"/>
      <c r="ALY6" s="17"/>
      <c r="ALZ6" s="17"/>
      <c r="AMA6" s="17"/>
      <c r="AMB6" s="17"/>
      <c r="AMC6" s="17"/>
      <c r="AMD6" s="17"/>
      <c r="AME6" s="17"/>
      <c r="AMF6" s="17"/>
      <c r="AMG6" s="17"/>
      <c r="AMH6" s="17"/>
      <c r="AMI6" s="17"/>
    </row>
    <row r="7" spans="1:1023" s="18" customFormat="1" ht="11.25" x14ac:dyDescent="0.2">
      <c r="A7" s="15"/>
      <c r="B7" s="24"/>
      <c r="C7" s="29"/>
      <c r="D7" s="26"/>
      <c r="E7" s="27" t="s">
        <v>81</v>
      </c>
      <c r="F7" s="26">
        <v>6</v>
      </c>
      <c r="G7" s="30">
        <v>203</v>
      </c>
      <c r="H7" s="31">
        <f>Table1[[#This Row],[LENGTH (in.)]]*Table1[[#This Row],[QTY.]]</f>
        <v>1218</v>
      </c>
      <c r="I7" s="16"/>
      <c r="J7" s="16"/>
      <c r="K7" s="16"/>
      <c r="L7" s="19"/>
      <c r="M7" s="23" t="s">
        <v>86</v>
      </c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17"/>
      <c r="MT7" s="17"/>
      <c r="MU7" s="17"/>
      <c r="MV7" s="17"/>
      <c r="MW7" s="17"/>
      <c r="MX7" s="17"/>
      <c r="MY7" s="17"/>
      <c r="MZ7" s="17"/>
      <c r="NA7" s="17"/>
      <c r="NB7" s="17"/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17"/>
      <c r="OX7" s="17"/>
      <c r="OY7" s="17"/>
      <c r="OZ7" s="17"/>
      <c r="PA7" s="17"/>
      <c r="PB7" s="17"/>
      <c r="PC7" s="17"/>
      <c r="PD7" s="17"/>
      <c r="PE7" s="17"/>
      <c r="PF7" s="17"/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17"/>
      <c r="RA7" s="17"/>
      <c r="RB7" s="17"/>
      <c r="RC7" s="17"/>
      <c r="RD7" s="17"/>
      <c r="RE7" s="17"/>
      <c r="RF7" s="17"/>
      <c r="RG7" s="17"/>
      <c r="RH7" s="17"/>
      <c r="RI7" s="17"/>
      <c r="RJ7" s="17"/>
      <c r="RK7" s="17"/>
      <c r="RL7" s="17"/>
      <c r="RM7" s="17"/>
      <c r="RN7" s="17"/>
      <c r="RO7" s="17"/>
      <c r="RP7" s="17"/>
      <c r="RQ7" s="17"/>
      <c r="RR7" s="17"/>
      <c r="RS7" s="17"/>
      <c r="RT7" s="17"/>
      <c r="RU7" s="17"/>
      <c r="RV7" s="17"/>
      <c r="RW7" s="17"/>
      <c r="RX7" s="17"/>
      <c r="RY7" s="17"/>
      <c r="RZ7" s="17"/>
      <c r="SA7" s="17"/>
      <c r="SB7" s="17"/>
      <c r="SC7" s="17"/>
      <c r="SD7" s="17"/>
      <c r="SE7" s="17"/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17"/>
      <c r="TQ7" s="17"/>
      <c r="TR7" s="17"/>
      <c r="TS7" s="17"/>
      <c r="TT7" s="17"/>
      <c r="TU7" s="17"/>
      <c r="TV7" s="17"/>
      <c r="TW7" s="17"/>
      <c r="TX7" s="17"/>
      <c r="TY7" s="17"/>
      <c r="TZ7" s="17"/>
      <c r="UA7" s="17"/>
      <c r="UB7" s="17"/>
      <c r="UC7" s="17"/>
      <c r="UD7" s="17"/>
      <c r="UE7" s="17"/>
      <c r="UF7" s="17"/>
      <c r="UG7" s="17"/>
      <c r="UH7" s="17"/>
      <c r="UI7" s="17"/>
      <c r="UJ7" s="17"/>
      <c r="UK7" s="17"/>
      <c r="UL7" s="17"/>
      <c r="UM7" s="17"/>
      <c r="UN7" s="17"/>
      <c r="UO7" s="17"/>
      <c r="UP7" s="17"/>
      <c r="UQ7" s="17"/>
      <c r="UR7" s="17"/>
      <c r="US7" s="17"/>
      <c r="UT7" s="17"/>
      <c r="UU7" s="17"/>
      <c r="UV7" s="17"/>
      <c r="UW7" s="17"/>
      <c r="UX7" s="17"/>
      <c r="UY7" s="17"/>
      <c r="UZ7" s="17"/>
      <c r="VA7" s="17"/>
      <c r="VB7" s="17"/>
      <c r="VC7" s="17"/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17"/>
      <c r="WG7" s="17"/>
      <c r="WH7" s="17"/>
      <c r="WI7" s="17"/>
      <c r="WJ7" s="17"/>
      <c r="WK7" s="17"/>
      <c r="WL7" s="17"/>
      <c r="WM7" s="17"/>
      <c r="WN7" s="17"/>
      <c r="WO7" s="17"/>
      <c r="WP7" s="17"/>
      <c r="WQ7" s="17"/>
      <c r="WR7" s="17"/>
      <c r="WS7" s="17"/>
      <c r="WT7" s="17"/>
      <c r="WU7" s="17"/>
      <c r="WV7" s="17"/>
      <c r="WW7" s="17"/>
      <c r="WX7" s="17"/>
      <c r="WY7" s="17"/>
      <c r="WZ7" s="17"/>
      <c r="XA7" s="17"/>
      <c r="XB7" s="17"/>
      <c r="XC7" s="17"/>
      <c r="XD7" s="17"/>
      <c r="XE7" s="17"/>
      <c r="XF7" s="17"/>
      <c r="XG7" s="17"/>
      <c r="XH7" s="17"/>
      <c r="XI7" s="17"/>
      <c r="XJ7" s="17"/>
      <c r="XK7" s="17"/>
      <c r="XL7" s="17"/>
      <c r="XM7" s="17"/>
      <c r="XN7" s="17"/>
      <c r="XO7" s="17"/>
      <c r="XP7" s="17"/>
      <c r="XQ7" s="17"/>
      <c r="XR7" s="17"/>
      <c r="XS7" s="17"/>
      <c r="XT7" s="17"/>
      <c r="XU7" s="17"/>
      <c r="XV7" s="17"/>
      <c r="XW7" s="17"/>
      <c r="XX7" s="17"/>
      <c r="XY7" s="17"/>
      <c r="XZ7" s="17"/>
      <c r="YA7" s="17"/>
      <c r="YB7" s="17"/>
      <c r="YC7" s="17"/>
      <c r="YD7" s="17"/>
      <c r="YE7" s="17"/>
      <c r="YF7" s="17"/>
      <c r="YG7" s="17"/>
      <c r="YH7" s="17"/>
      <c r="YI7" s="17"/>
      <c r="YJ7" s="17"/>
      <c r="YK7" s="17"/>
      <c r="YL7" s="17"/>
      <c r="YM7" s="17"/>
      <c r="YN7" s="17"/>
      <c r="YO7" s="17"/>
      <c r="YP7" s="17"/>
      <c r="YQ7" s="17"/>
      <c r="YR7" s="17"/>
      <c r="YS7" s="17"/>
      <c r="YT7" s="17"/>
      <c r="YU7" s="17"/>
      <c r="YV7" s="17"/>
      <c r="YW7" s="17"/>
      <c r="YX7" s="17"/>
      <c r="YY7" s="17"/>
      <c r="YZ7" s="17"/>
      <c r="ZA7" s="17"/>
      <c r="ZB7" s="17"/>
      <c r="ZC7" s="17"/>
      <c r="ZD7" s="17"/>
      <c r="ZE7" s="17"/>
      <c r="ZF7" s="17"/>
      <c r="ZG7" s="17"/>
      <c r="ZH7" s="17"/>
      <c r="ZI7" s="17"/>
      <c r="ZJ7" s="17"/>
      <c r="ZK7" s="17"/>
      <c r="ZL7" s="17"/>
      <c r="ZM7" s="17"/>
      <c r="ZN7" s="17"/>
      <c r="ZO7" s="17"/>
      <c r="ZP7" s="17"/>
      <c r="ZQ7" s="17"/>
      <c r="ZR7" s="17"/>
      <c r="ZS7" s="17"/>
      <c r="ZT7" s="17"/>
      <c r="ZU7" s="17"/>
      <c r="ZV7" s="17"/>
      <c r="ZW7" s="17"/>
      <c r="ZX7" s="17"/>
      <c r="ZY7" s="17"/>
      <c r="ZZ7" s="17"/>
      <c r="AAA7" s="17"/>
      <c r="AAB7" s="17"/>
      <c r="AAC7" s="17"/>
      <c r="AAD7" s="17"/>
      <c r="AAE7" s="17"/>
      <c r="AAF7" s="17"/>
      <c r="AAG7" s="17"/>
      <c r="AAH7" s="17"/>
      <c r="AAI7" s="17"/>
      <c r="AAJ7" s="17"/>
      <c r="AAK7" s="17"/>
      <c r="AAL7" s="17"/>
      <c r="AAM7" s="17"/>
      <c r="AAN7" s="17"/>
      <c r="AAO7" s="17"/>
      <c r="AAP7" s="17"/>
      <c r="AAQ7" s="17"/>
      <c r="AAR7" s="17"/>
      <c r="AAS7" s="17"/>
      <c r="AAT7" s="17"/>
      <c r="AAU7" s="17"/>
      <c r="AAV7" s="17"/>
      <c r="AAW7" s="17"/>
      <c r="AAX7" s="17"/>
      <c r="AAY7" s="17"/>
      <c r="AAZ7" s="17"/>
      <c r="ABA7" s="17"/>
      <c r="ABB7" s="17"/>
      <c r="ABC7" s="17"/>
      <c r="ABD7" s="17"/>
      <c r="ABE7" s="17"/>
      <c r="ABF7" s="17"/>
      <c r="ABG7" s="17"/>
      <c r="ABH7" s="17"/>
      <c r="ABI7" s="17"/>
      <c r="ABJ7" s="17"/>
      <c r="ABK7" s="17"/>
      <c r="ABL7" s="17"/>
      <c r="ABM7" s="17"/>
      <c r="ABN7" s="17"/>
      <c r="ABO7" s="17"/>
      <c r="ABP7" s="17"/>
      <c r="ABQ7" s="17"/>
      <c r="ABR7" s="17"/>
      <c r="ABS7" s="17"/>
      <c r="ABT7" s="17"/>
      <c r="ABU7" s="17"/>
      <c r="ABV7" s="17"/>
      <c r="ABW7" s="17"/>
      <c r="ABX7" s="17"/>
      <c r="ABY7" s="17"/>
      <c r="ABZ7" s="17"/>
      <c r="ACA7" s="17"/>
      <c r="ACB7" s="17"/>
      <c r="ACC7" s="17"/>
      <c r="ACD7" s="17"/>
      <c r="ACE7" s="17"/>
      <c r="ACF7" s="17"/>
      <c r="ACG7" s="17"/>
      <c r="ACH7" s="17"/>
      <c r="ACI7" s="17"/>
      <c r="ACJ7" s="17"/>
      <c r="ACK7" s="17"/>
      <c r="ACL7" s="17"/>
      <c r="ACM7" s="17"/>
      <c r="ACN7" s="17"/>
      <c r="ACO7" s="17"/>
      <c r="ACP7" s="17"/>
      <c r="ACQ7" s="17"/>
      <c r="ACR7" s="17"/>
      <c r="ACS7" s="17"/>
      <c r="ACT7" s="17"/>
      <c r="ACU7" s="17"/>
      <c r="ACV7" s="17"/>
      <c r="ACW7" s="17"/>
      <c r="ACX7" s="17"/>
      <c r="ACY7" s="17"/>
      <c r="ACZ7" s="17"/>
      <c r="ADA7" s="17"/>
      <c r="ADB7" s="17"/>
      <c r="ADC7" s="17"/>
      <c r="ADD7" s="17"/>
      <c r="ADE7" s="17"/>
      <c r="ADF7" s="17"/>
      <c r="ADG7" s="17"/>
      <c r="ADH7" s="17"/>
      <c r="ADI7" s="17"/>
      <c r="ADJ7" s="17"/>
      <c r="ADK7" s="17"/>
      <c r="ADL7" s="17"/>
      <c r="ADM7" s="17"/>
      <c r="ADN7" s="17"/>
      <c r="ADO7" s="17"/>
      <c r="ADP7" s="17"/>
      <c r="ADQ7" s="17"/>
      <c r="ADR7" s="17"/>
      <c r="ADS7" s="17"/>
      <c r="ADT7" s="17"/>
      <c r="ADU7" s="17"/>
      <c r="ADV7" s="17"/>
      <c r="ADW7" s="17"/>
      <c r="ADX7" s="17"/>
      <c r="ADY7" s="17"/>
      <c r="ADZ7" s="17"/>
      <c r="AEA7" s="17"/>
      <c r="AEB7" s="17"/>
      <c r="AEC7" s="17"/>
      <c r="AED7" s="17"/>
      <c r="AEE7" s="17"/>
      <c r="AEF7" s="17"/>
      <c r="AEG7" s="17"/>
      <c r="AEH7" s="17"/>
      <c r="AEI7" s="17"/>
      <c r="AEJ7" s="17"/>
      <c r="AEK7" s="17"/>
      <c r="AEL7" s="17"/>
      <c r="AEM7" s="17"/>
      <c r="AEN7" s="17"/>
      <c r="AEO7" s="17"/>
      <c r="AEP7" s="17"/>
      <c r="AEQ7" s="17"/>
      <c r="AER7" s="17"/>
      <c r="AES7" s="17"/>
      <c r="AET7" s="17"/>
      <c r="AEU7" s="17"/>
      <c r="AEV7" s="17"/>
      <c r="AEW7" s="17"/>
      <c r="AEX7" s="17"/>
      <c r="AEY7" s="17"/>
      <c r="AEZ7" s="17"/>
      <c r="AFA7" s="17"/>
      <c r="AFB7" s="17"/>
      <c r="AFC7" s="17"/>
      <c r="AFD7" s="17"/>
      <c r="AFE7" s="17"/>
      <c r="AFF7" s="17"/>
      <c r="AFG7" s="17"/>
      <c r="AFH7" s="17"/>
      <c r="AFI7" s="17"/>
      <c r="AFJ7" s="17"/>
      <c r="AFK7" s="17"/>
      <c r="AFL7" s="17"/>
      <c r="AFM7" s="17"/>
      <c r="AFN7" s="17"/>
      <c r="AFO7" s="17"/>
      <c r="AFP7" s="17"/>
      <c r="AFQ7" s="17"/>
      <c r="AFR7" s="17"/>
      <c r="AFS7" s="17"/>
      <c r="AFT7" s="17"/>
      <c r="AFU7" s="17"/>
      <c r="AFV7" s="17"/>
      <c r="AFW7" s="17"/>
      <c r="AFX7" s="17"/>
      <c r="AFY7" s="17"/>
      <c r="AFZ7" s="17"/>
      <c r="AGA7" s="17"/>
      <c r="AGB7" s="17"/>
      <c r="AGC7" s="17"/>
      <c r="AGD7" s="17"/>
      <c r="AGE7" s="17"/>
      <c r="AGF7" s="17"/>
      <c r="AGG7" s="17"/>
      <c r="AGH7" s="17"/>
      <c r="AGI7" s="17"/>
      <c r="AGJ7" s="17"/>
      <c r="AGK7" s="17"/>
      <c r="AGL7" s="17"/>
      <c r="AGM7" s="17"/>
      <c r="AGN7" s="17"/>
      <c r="AGO7" s="17"/>
      <c r="AGP7" s="17"/>
      <c r="AGQ7" s="17"/>
      <c r="AGR7" s="17"/>
      <c r="AGS7" s="17"/>
      <c r="AGT7" s="17"/>
      <c r="AGU7" s="17"/>
      <c r="AGV7" s="17"/>
      <c r="AGW7" s="17"/>
      <c r="AGX7" s="17"/>
      <c r="AGY7" s="17"/>
      <c r="AGZ7" s="17"/>
      <c r="AHA7" s="17"/>
      <c r="AHB7" s="17"/>
      <c r="AHC7" s="17"/>
      <c r="AHD7" s="17"/>
      <c r="AHE7" s="17"/>
      <c r="AHF7" s="17"/>
      <c r="AHG7" s="17"/>
      <c r="AHH7" s="17"/>
      <c r="AHI7" s="17"/>
      <c r="AHJ7" s="17"/>
      <c r="AHK7" s="17"/>
      <c r="AHL7" s="17"/>
      <c r="AHM7" s="17"/>
      <c r="AHN7" s="17"/>
      <c r="AHO7" s="17"/>
      <c r="AHP7" s="17"/>
      <c r="AHQ7" s="17"/>
      <c r="AHR7" s="17"/>
      <c r="AHS7" s="17"/>
      <c r="AHT7" s="17"/>
      <c r="AHU7" s="17"/>
      <c r="AHV7" s="17"/>
      <c r="AHW7" s="17"/>
      <c r="AHX7" s="17"/>
      <c r="AHY7" s="17"/>
      <c r="AHZ7" s="17"/>
      <c r="AIA7" s="17"/>
      <c r="AIB7" s="17"/>
      <c r="AIC7" s="17"/>
      <c r="AID7" s="17"/>
      <c r="AIE7" s="17"/>
      <c r="AIF7" s="17"/>
      <c r="AIG7" s="17"/>
      <c r="AIH7" s="17"/>
      <c r="AII7" s="17"/>
      <c r="AIJ7" s="17"/>
      <c r="AIK7" s="17"/>
      <c r="AIL7" s="17"/>
      <c r="AIM7" s="17"/>
      <c r="AIN7" s="17"/>
      <c r="AIO7" s="17"/>
      <c r="AIP7" s="17"/>
      <c r="AIQ7" s="17"/>
      <c r="AIR7" s="17"/>
      <c r="AIS7" s="17"/>
      <c r="AIT7" s="17"/>
      <c r="AIU7" s="17"/>
      <c r="AIV7" s="17"/>
      <c r="AIW7" s="17"/>
      <c r="AIX7" s="17"/>
      <c r="AIY7" s="17"/>
      <c r="AIZ7" s="17"/>
      <c r="AJA7" s="17"/>
      <c r="AJB7" s="17"/>
      <c r="AJC7" s="17"/>
      <c r="AJD7" s="17"/>
      <c r="AJE7" s="17"/>
      <c r="AJF7" s="17"/>
      <c r="AJG7" s="17"/>
      <c r="AJH7" s="17"/>
      <c r="AJI7" s="17"/>
      <c r="AJJ7" s="17"/>
      <c r="AJK7" s="17"/>
      <c r="AJL7" s="17"/>
      <c r="AJM7" s="17"/>
      <c r="AJN7" s="17"/>
      <c r="AJO7" s="17"/>
      <c r="AJP7" s="17"/>
      <c r="AJQ7" s="17"/>
      <c r="AJR7" s="17"/>
      <c r="AJS7" s="17"/>
      <c r="AJT7" s="17"/>
      <c r="AJU7" s="17"/>
      <c r="AJV7" s="17"/>
      <c r="AJW7" s="17"/>
      <c r="AJX7" s="17"/>
      <c r="AJY7" s="17"/>
      <c r="AJZ7" s="17"/>
      <c r="AKA7" s="17"/>
      <c r="AKB7" s="17"/>
      <c r="AKC7" s="17"/>
      <c r="AKD7" s="17"/>
      <c r="AKE7" s="17"/>
      <c r="AKF7" s="17"/>
      <c r="AKG7" s="17"/>
      <c r="AKH7" s="17"/>
      <c r="AKI7" s="17"/>
      <c r="AKJ7" s="17"/>
      <c r="AKK7" s="17"/>
      <c r="AKL7" s="17"/>
      <c r="AKM7" s="17"/>
      <c r="AKN7" s="17"/>
      <c r="AKO7" s="17"/>
      <c r="AKP7" s="17"/>
      <c r="AKQ7" s="17"/>
      <c r="AKR7" s="17"/>
      <c r="AKS7" s="17"/>
      <c r="AKT7" s="17"/>
      <c r="AKU7" s="17"/>
      <c r="AKV7" s="17"/>
      <c r="AKW7" s="17"/>
      <c r="AKX7" s="17"/>
      <c r="AKY7" s="17"/>
      <c r="AKZ7" s="17"/>
      <c r="ALA7" s="17"/>
      <c r="ALB7" s="17"/>
      <c r="ALC7" s="17"/>
      <c r="ALD7" s="17"/>
      <c r="ALE7" s="17"/>
      <c r="ALF7" s="17"/>
      <c r="ALG7" s="17"/>
      <c r="ALH7" s="17"/>
      <c r="ALI7" s="17"/>
      <c r="ALJ7" s="17"/>
      <c r="ALK7" s="17"/>
      <c r="ALL7" s="17"/>
      <c r="ALM7" s="17"/>
      <c r="ALN7" s="17"/>
      <c r="ALO7" s="17"/>
      <c r="ALP7" s="17"/>
      <c r="ALQ7" s="17"/>
      <c r="ALR7" s="17"/>
      <c r="ALS7" s="17"/>
      <c r="ALT7" s="17"/>
      <c r="ALU7" s="17"/>
      <c r="ALV7" s="17"/>
      <c r="ALW7" s="17"/>
      <c r="ALX7" s="17"/>
      <c r="ALY7" s="17"/>
      <c r="ALZ7" s="17"/>
      <c r="AMA7" s="17"/>
      <c r="AMB7" s="17"/>
      <c r="AMC7" s="17"/>
      <c r="AMD7" s="17"/>
      <c r="AME7" s="17"/>
      <c r="AMF7" s="17"/>
      <c r="AMG7" s="17"/>
      <c r="AMH7" s="17"/>
      <c r="AMI7" s="17"/>
    </row>
    <row r="8" spans="1:1023" s="18" customFormat="1" ht="11.25" x14ac:dyDescent="0.2">
      <c r="A8" s="15"/>
      <c r="B8" s="24"/>
      <c r="C8" s="25"/>
      <c r="D8" s="26"/>
      <c r="E8" s="27" t="s">
        <v>81</v>
      </c>
      <c r="F8" s="26">
        <v>1</v>
      </c>
      <c r="G8" s="28">
        <v>203</v>
      </c>
      <c r="H8" s="31">
        <f>Table1[[#This Row],[LENGTH (in.)]]*Table1[[#This Row],[QTY.]]</f>
        <v>203</v>
      </c>
      <c r="I8" s="16"/>
      <c r="J8" s="16"/>
      <c r="K8" s="16"/>
      <c r="L8" s="19"/>
      <c r="M8" s="23" t="s">
        <v>87</v>
      </c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17"/>
      <c r="MT8" s="17"/>
      <c r="MU8" s="17"/>
      <c r="MV8" s="17"/>
      <c r="MW8" s="17"/>
      <c r="MX8" s="17"/>
      <c r="MY8" s="17"/>
      <c r="MZ8" s="17"/>
      <c r="NA8" s="17"/>
      <c r="NB8" s="17"/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17"/>
      <c r="OX8" s="17"/>
      <c r="OY8" s="17"/>
      <c r="OZ8" s="17"/>
      <c r="PA8" s="17"/>
      <c r="PB8" s="17"/>
      <c r="PC8" s="17"/>
      <c r="PD8" s="17"/>
      <c r="PE8" s="17"/>
      <c r="PF8" s="17"/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17"/>
      <c r="RA8" s="17"/>
      <c r="RB8" s="17"/>
      <c r="RC8" s="17"/>
      <c r="RD8" s="17"/>
      <c r="RE8" s="17"/>
      <c r="RF8" s="17"/>
      <c r="RG8" s="17"/>
      <c r="RH8" s="17"/>
      <c r="RI8" s="17"/>
      <c r="RJ8" s="17"/>
      <c r="RK8" s="17"/>
      <c r="RL8" s="17"/>
      <c r="RM8" s="17"/>
      <c r="RN8" s="17"/>
      <c r="RO8" s="17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17"/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17"/>
      <c r="TQ8" s="17"/>
      <c r="TR8" s="17"/>
      <c r="TS8" s="17"/>
      <c r="TT8" s="17"/>
      <c r="TU8" s="17"/>
      <c r="TV8" s="17"/>
      <c r="TW8" s="17"/>
      <c r="TX8" s="17"/>
      <c r="TY8" s="17"/>
      <c r="TZ8" s="17"/>
      <c r="UA8" s="17"/>
      <c r="UB8" s="17"/>
      <c r="UC8" s="17"/>
      <c r="UD8" s="17"/>
      <c r="UE8" s="17"/>
      <c r="UF8" s="17"/>
      <c r="UG8" s="17"/>
      <c r="UH8" s="17"/>
      <c r="UI8" s="17"/>
      <c r="UJ8" s="17"/>
      <c r="UK8" s="17"/>
      <c r="UL8" s="17"/>
      <c r="UM8" s="17"/>
      <c r="UN8" s="17"/>
      <c r="UO8" s="17"/>
      <c r="UP8" s="17"/>
      <c r="UQ8" s="17"/>
      <c r="UR8" s="17"/>
      <c r="US8" s="17"/>
      <c r="UT8" s="17"/>
      <c r="UU8" s="17"/>
      <c r="UV8" s="17"/>
      <c r="UW8" s="17"/>
      <c r="UX8" s="17"/>
      <c r="UY8" s="17"/>
      <c r="UZ8" s="17"/>
      <c r="VA8" s="17"/>
      <c r="VB8" s="17"/>
      <c r="VC8" s="17"/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17"/>
      <c r="WG8" s="17"/>
      <c r="WH8" s="17"/>
      <c r="WI8" s="17"/>
      <c r="WJ8" s="17"/>
      <c r="WK8" s="17"/>
      <c r="WL8" s="17"/>
      <c r="WM8" s="17"/>
      <c r="WN8" s="17"/>
      <c r="WO8" s="17"/>
      <c r="WP8" s="17"/>
      <c r="WQ8" s="17"/>
      <c r="WR8" s="17"/>
      <c r="WS8" s="17"/>
      <c r="WT8" s="17"/>
      <c r="WU8" s="17"/>
      <c r="WV8" s="17"/>
      <c r="WW8" s="17"/>
      <c r="WX8" s="17"/>
      <c r="WY8" s="17"/>
      <c r="WZ8" s="17"/>
      <c r="XA8" s="17"/>
      <c r="XB8" s="17"/>
      <c r="XC8" s="17"/>
      <c r="XD8" s="17"/>
      <c r="XE8" s="17"/>
      <c r="XF8" s="17"/>
      <c r="XG8" s="17"/>
      <c r="XH8" s="17"/>
      <c r="XI8" s="17"/>
      <c r="XJ8" s="17"/>
      <c r="XK8" s="17"/>
      <c r="XL8" s="17"/>
      <c r="XM8" s="17"/>
      <c r="XN8" s="17"/>
      <c r="XO8" s="17"/>
      <c r="XP8" s="17"/>
      <c r="XQ8" s="17"/>
      <c r="XR8" s="17"/>
      <c r="XS8" s="17"/>
      <c r="XT8" s="17"/>
      <c r="XU8" s="17"/>
      <c r="XV8" s="17"/>
      <c r="XW8" s="17"/>
      <c r="XX8" s="17"/>
      <c r="XY8" s="17"/>
      <c r="XZ8" s="17"/>
      <c r="YA8" s="17"/>
      <c r="YB8" s="17"/>
      <c r="YC8" s="17"/>
      <c r="YD8" s="17"/>
      <c r="YE8" s="17"/>
      <c r="YF8" s="17"/>
      <c r="YG8" s="17"/>
      <c r="YH8" s="17"/>
      <c r="YI8" s="17"/>
      <c r="YJ8" s="17"/>
      <c r="YK8" s="17"/>
      <c r="YL8" s="17"/>
      <c r="YM8" s="17"/>
      <c r="YN8" s="17"/>
      <c r="YO8" s="17"/>
      <c r="YP8" s="17"/>
      <c r="YQ8" s="17"/>
      <c r="YR8" s="17"/>
      <c r="YS8" s="17"/>
      <c r="YT8" s="17"/>
      <c r="YU8" s="17"/>
      <c r="YV8" s="17"/>
      <c r="YW8" s="17"/>
      <c r="YX8" s="17"/>
      <c r="YY8" s="17"/>
      <c r="YZ8" s="17"/>
      <c r="ZA8" s="17"/>
      <c r="ZB8" s="17"/>
      <c r="ZC8" s="17"/>
      <c r="ZD8" s="17"/>
      <c r="ZE8" s="17"/>
      <c r="ZF8" s="17"/>
      <c r="ZG8" s="17"/>
      <c r="ZH8" s="17"/>
      <c r="ZI8" s="17"/>
      <c r="ZJ8" s="17"/>
      <c r="ZK8" s="17"/>
      <c r="ZL8" s="17"/>
      <c r="ZM8" s="17"/>
      <c r="ZN8" s="17"/>
      <c r="ZO8" s="17"/>
      <c r="ZP8" s="17"/>
      <c r="ZQ8" s="17"/>
      <c r="ZR8" s="17"/>
      <c r="ZS8" s="17"/>
      <c r="ZT8" s="17"/>
      <c r="ZU8" s="17"/>
      <c r="ZV8" s="17"/>
      <c r="ZW8" s="17"/>
      <c r="ZX8" s="17"/>
      <c r="ZY8" s="17"/>
      <c r="ZZ8" s="17"/>
      <c r="AAA8" s="17"/>
      <c r="AAB8" s="17"/>
      <c r="AAC8" s="17"/>
      <c r="AAD8" s="17"/>
      <c r="AAE8" s="17"/>
      <c r="AAF8" s="17"/>
      <c r="AAG8" s="17"/>
      <c r="AAH8" s="17"/>
      <c r="AAI8" s="17"/>
      <c r="AAJ8" s="17"/>
      <c r="AAK8" s="17"/>
      <c r="AAL8" s="17"/>
      <c r="AAM8" s="17"/>
      <c r="AAN8" s="17"/>
      <c r="AAO8" s="17"/>
      <c r="AAP8" s="17"/>
      <c r="AAQ8" s="17"/>
      <c r="AAR8" s="17"/>
      <c r="AAS8" s="17"/>
      <c r="AAT8" s="17"/>
      <c r="AAU8" s="17"/>
      <c r="AAV8" s="17"/>
      <c r="AAW8" s="17"/>
      <c r="AAX8" s="17"/>
      <c r="AAY8" s="17"/>
      <c r="AAZ8" s="17"/>
      <c r="ABA8" s="17"/>
      <c r="ABB8" s="17"/>
      <c r="ABC8" s="17"/>
      <c r="ABD8" s="17"/>
      <c r="ABE8" s="17"/>
      <c r="ABF8" s="17"/>
      <c r="ABG8" s="17"/>
      <c r="ABH8" s="17"/>
      <c r="ABI8" s="17"/>
      <c r="ABJ8" s="17"/>
      <c r="ABK8" s="17"/>
      <c r="ABL8" s="17"/>
      <c r="ABM8" s="17"/>
      <c r="ABN8" s="17"/>
      <c r="ABO8" s="17"/>
      <c r="ABP8" s="17"/>
      <c r="ABQ8" s="17"/>
      <c r="ABR8" s="17"/>
      <c r="ABS8" s="17"/>
      <c r="ABT8" s="17"/>
      <c r="ABU8" s="17"/>
      <c r="ABV8" s="17"/>
      <c r="ABW8" s="17"/>
      <c r="ABX8" s="17"/>
      <c r="ABY8" s="17"/>
      <c r="ABZ8" s="17"/>
      <c r="ACA8" s="17"/>
      <c r="ACB8" s="17"/>
      <c r="ACC8" s="17"/>
      <c r="ACD8" s="17"/>
      <c r="ACE8" s="17"/>
      <c r="ACF8" s="17"/>
      <c r="ACG8" s="17"/>
      <c r="ACH8" s="17"/>
      <c r="ACI8" s="17"/>
      <c r="ACJ8" s="17"/>
      <c r="ACK8" s="17"/>
      <c r="ACL8" s="17"/>
      <c r="ACM8" s="17"/>
      <c r="ACN8" s="17"/>
      <c r="ACO8" s="17"/>
      <c r="ACP8" s="17"/>
      <c r="ACQ8" s="17"/>
      <c r="ACR8" s="17"/>
      <c r="ACS8" s="17"/>
      <c r="ACT8" s="17"/>
      <c r="ACU8" s="17"/>
      <c r="ACV8" s="17"/>
      <c r="ACW8" s="17"/>
      <c r="ACX8" s="17"/>
      <c r="ACY8" s="17"/>
      <c r="ACZ8" s="17"/>
      <c r="ADA8" s="17"/>
      <c r="ADB8" s="17"/>
      <c r="ADC8" s="17"/>
      <c r="ADD8" s="17"/>
      <c r="ADE8" s="17"/>
      <c r="ADF8" s="17"/>
      <c r="ADG8" s="17"/>
      <c r="ADH8" s="17"/>
      <c r="ADI8" s="17"/>
      <c r="ADJ8" s="17"/>
      <c r="ADK8" s="17"/>
      <c r="ADL8" s="17"/>
      <c r="ADM8" s="17"/>
      <c r="ADN8" s="17"/>
      <c r="ADO8" s="17"/>
      <c r="ADP8" s="17"/>
      <c r="ADQ8" s="17"/>
      <c r="ADR8" s="17"/>
      <c r="ADS8" s="17"/>
      <c r="ADT8" s="17"/>
      <c r="ADU8" s="17"/>
      <c r="ADV8" s="17"/>
      <c r="ADW8" s="17"/>
      <c r="ADX8" s="17"/>
      <c r="ADY8" s="17"/>
      <c r="ADZ8" s="17"/>
      <c r="AEA8" s="17"/>
      <c r="AEB8" s="17"/>
      <c r="AEC8" s="17"/>
      <c r="AED8" s="17"/>
      <c r="AEE8" s="17"/>
      <c r="AEF8" s="17"/>
      <c r="AEG8" s="17"/>
      <c r="AEH8" s="17"/>
      <c r="AEI8" s="17"/>
      <c r="AEJ8" s="17"/>
      <c r="AEK8" s="17"/>
      <c r="AEL8" s="17"/>
      <c r="AEM8" s="17"/>
      <c r="AEN8" s="17"/>
      <c r="AEO8" s="17"/>
      <c r="AEP8" s="17"/>
      <c r="AEQ8" s="17"/>
      <c r="AER8" s="17"/>
      <c r="AES8" s="17"/>
      <c r="AET8" s="17"/>
      <c r="AEU8" s="17"/>
      <c r="AEV8" s="17"/>
      <c r="AEW8" s="17"/>
      <c r="AEX8" s="17"/>
      <c r="AEY8" s="17"/>
      <c r="AEZ8" s="17"/>
      <c r="AFA8" s="17"/>
      <c r="AFB8" s="17"/>
      <c r="AFC8" s="17"/>
      <c r="AFD8" s="17"/>
      <c r="AFE8" s="17"/>
      <c r="AFF8" s="17"/>
      <c r="AFG8" s="17"/>
      <c r="AFH8" s="17"/>
      <c r="AFI8" s="17"/>
      <c r="AFJ8" s="17"/>
      <c r="AFK8" s="17"/>
      <c r="AFL8" s="17"/>
      <c r="AFM8" s="17"/>
      <c r="AFN8" s="17"/>
      <c r="AFO8" s="17"/>
      <c r="AFP8" s="17"/>
      <c r="AFQ8" s="17"/>
      <c r="AFR8" s="17"/>
      <c r="AFS8" s="17"/>
      <c r="AFT8" s="17"/>
      <c r="AFU8" s="17"/>
      <c r="AFV8" s="17"/>
      <c r="AFW8" s="17"/>
      <c r="AFX8" s="17"/>
      <c r="AFY8" s="17"/>
      <c r="AFZ8" s="17"/>
      <c r="AGA8" s="17"/>
      <c r="AGB8" s="17"/>
      <c r="AGC8" s="17"/>
      <c r="AGD8" s="17"/>
      <c r="AGE8" s="17"/>
      <c r="AGF8" s="17"/>
      <c r="AGG8" s="17"/>
      <c r="AGH8" s="17"/>
      <c r="AGI8" s="17"/>
      <c r="AGJ8" s="17"/>
      <c r="AGK8" s="17"/>
      <c r="AGL8" s="17"/>
      <c r="AGM8" s="17"/>
      <c r="AGN8" s="17"/>
      <c r="AGO8" s="17"/>
      <c r="AGP8" s="17"/>
      <c r="AGQ8" s="17"/>
      <c r="AGR8" s="17"/>
      <c r="AGS8" s="17"/>
      <c r="AGT8" s="17"/>
      <c r="AGU8" s="17"/>
      <c r="AGV8" s="17"/>
      <c r="AGW8" s="17"/>
      <c r="AGX8" s="17"/>
      <c r="AGY8" s="17"/>
      <c r="AGZ8" s="17"/>
      <c r="AHA8" s="17"/>
      <c r="AHB8" s="17"/>
      <c r="AHC8" s="17"/>
      <c r="AHD8" s="17"/>
      <c r="AHE8" s="17"/>
      <c r="AHF8" s="17"/>
      <c r="AHG8" s="17"/>
      <c r="AHH8" s="17"/>
      <c r="AHI8" s="17"/>
      <c r="AHJ8" s="17"/>
      <c r="AHK8" s="17"/>
      <c r="AHL8" s="17"/>
      <c r="AHM8" s="17"/>
      <c r="AHN8" s="17"/>
      <c r="AHO8" s="17"/>
      <c r="AHP8" s="17"/>
      <c r="AHQ8" s="17"/>
      <c r="AHR8" s="17"/>
      <c r="AHS8" s="17"/>
      <c r="AHT8" s="17"/>
      <c r="AHU8" s="17"/>
      <c r="AHV8" s="17"/>
      <c r="AHW8" s="17"/>
      <c r="AHX8" s="17"/>
      <c r="AHY8" s="17"/>
      <c r="AHZ8" s="17"/>
      <c r="AIA8" s="17"/>
      <c r="AIB8" s="17"/>
      <c r="AIC8" s="17"/>
      <c r="AID8" s="17"/>
      <c r="AIE8" s="17"/>
      <c r="AIF8" s="17"/>
      <c r="AIG8" s="17"/>
      <c r="AIH8" s="17"/>
      <c r="AII8" s="17"/>
      <c r="AIJ8" s="17"/>
      <c r="AIK8" s="17"/>
      <c r="AIL8" s="17"/>
      <c r="AIM8" s="17"/>
      <c r="AIN8" s="17"/>
      <c r="AIO8" s="17"/>
      <c r="AIP8" s="17"/>
      <c r="AIQ8" s="17"/>
      <c r="AIR8" s="17"/>
      <c r="AIS8" s="17"/>
      <c r="AIT8" s="17"/>
      <c r="AIU8" s="17"/>
      <c r="AIV8" s="17"/>
      <c r="AIW8" s="17"/>
      <c r="AIX8" s="17"/>
      <c r="AIY8" s="17"/>
      <c r="AIZ8" s="17"/>
      <c r="AJA8" s="17"/>
      <c r="AJB8" s="17"/>
      <c r="AJC8" s="17"/>
      <c r="AJD8" s="17"/>
      <c r="AJE8" s="17"/>
      <c r="AJF8" s="17"/>
      <c r="AJG8" s="17"/>
      <c r="AJH8" s="17"/>
      <c r="AJI8" s="17"/>
      <c r="AJJ8" s="17"/>
      <c r="AJK8" s="17"/>
      <c r="AJL8" s="17"/>
      <c r="AJM8" s="17"/>
      <c r="AJN8" s="17"/>
      <c r="AJO8" s="17"/>
      <c r="AJP8" s="17"/>
      <c r="AJQ8" s="17"/>
      <c r="AJR8" s="17"/>
      <c r="AJS8" s="17"/>
      <c r="AJT8" s="17"/>
      <c r="AJU8" s="17"/>
      <c r="AJV8" s="17"/>
      <c r="AJW8" s="17"/>
      <c r="AJX8" s="17"/>
      <c r="AJY8" s="17"/>
      <c r="AJZ8" s="17"/>
      <c r="AKA8" s="17"/>
      <c r="AKB8" s="17"/>
      <c r="AKC8" s="17"/>
      <c r="AKD8" s="17"/>
      <c r="AKE8" s="17"/>
      <c r="AKF8" s="17"/>
      <c r="AKG8" s="17"/>
      <c r="AKH8" s="17"/>
      <c r="AKI8" s="17"/>
      <c r="AKJ8" s="17"/>
      <c r="AKK8" s="17"/>
      <c r="AKL8" s="17"/>
      <c r="AKM8" s="17"/>
      <c r="AKN8" s="17"/>
      <c r="AKO8" s="17"/>
      <c r="AKP8" s="17"/>
      <c r="AKQ8" s="17"/>
      <c r="AKR8" s="17"/>
      <c r="AKS8" s="17"/>
      <c r="AKT8" s="17"/>
      <c r="AKU8" s="17"/>
      <c r="AKV8" s="17"/>
      <c r="AKW8" s="17"/>
      <c r="AKX8" s="17"/>
      <c r="AKY8" s="17"/>
      <c r="AKZ8" s="17"/>
      <c r="ALA8" s="17"/>
      <c r="ALB8" s="17"/>
      <c r="ALC8" s="17"/>
      <c r="ALD8" s="17"/>
      <c r="ALE8" s="17"/>
      <c r="ALF8" s="17"/>
      <c r="ALG8" s="17"/>
      <c r="ALH8" s="17"/>
      <c r="ALI8" s="17"/>
      <c r="ALJ8" s="17"/>
      <c r="ALK8" s="17"/>
      <c r="ALL8" s="17"/>
      <c r="ALM8" s="17"/>
      <c r="ALN8" s="17"/>
      <c r="ALO8" s="17"/>
      <c r="ALP8" s="17"/>
      <c r="ALQ8" s="17"/>
      <c r="ALR8" s="17"/>
      <c r="ALS8" s="17"/>
      <c r="ALT8" s="17"/>
      <c r="ALU8" s="17"/>
      <c r="ALV8" s="17"/>
      <c r="ALW8" s="17"/>
      <c r="ALX8" s="17"/>
      <c r="ALY8" s="17"/>
      <c r="ALZ8" s="17"/>
      <c r="AMA8" s="17"/>
      <c r="AMB8" s="17"/>
      <c r="AMC8" s="17"/>
      <c r="AMD8" s="17"/>
      <c r="AME8" s="17"/>
      <c r="AMF8" s="17"/>
      <c r="AMG8" s="17"/>
      <c r="AMH8" s="17"/>
      <c r="AMI8" s="17"/>
    </row>
    <row r="9" spans="1:1023" s="18" customFormat="1" ht="11.25" x14ac:dyDescent="0.2">
      <c r="A9" s="15"/>
      <c r="B9" s="24"/>
      <c r="C9" s="25"/>
      <c r="D9" s="26"/>
      <c r="E9" s="27" t="s">
        <v>81</v>
      </c>
      <c r="F9" s="26">
        <v>1</v>
      </c>
      <c r="G9" s="28">
        <v>129.75</v>
      </c>
      <c r="H9" s="31">
        <f>Table1[[#This Row],[LENGTH (in.)]]*Table1[[#This Row],[QTY.]]</f>
        <v>129.75</v>
      </c>
      <c r="I9" s="16"/>
      <c r="J9" s="16"/>
      <c r="K9" s="16"/>
      <c r="L9" s="17"/>
      <c r="M9" s="23" t="s">
        <v>89</v>
      </c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17"/>
      <c r="MT9" s="17"/>
      <c r="MU9" s="17"/>
      <c r="MV9" s="17"/>
      <c r="MW9" s="17"/>
      <c r="MX9" s="17"/>
      <c r="MY9" s="17"/>
      <c r="MZ9" s="17"/>
      <c r="NA9" s="17"/>
      <c r="NB9" s="17"/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17"/>
      <c r="OX9" s="17"/>
      <c r="OY9" s="17"/>
      <c r="OZ9" s="17"/>
      <c r="PA9" s="17"/>
      <c r="PB9" s="17"/>
      <c r="PC9" s="17"/>
      <c r="PD9" s="17"/>
      <c r="PE9" s="17"/>
      <c r="PF9" s="17"/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17"/>
      <c r="RA9" s="17"/>
      <c r="RB9" s="17"/>
      <c r="RC9" s="17"/>
      <c r="RD9" s="17"/>
      <c r="RE9" s="17"/>
      <c r="RF9" s="17"/>
      <c r="RG9" s="17"/>
      <c r="RH9" s="17"/>
      <c r="RI9" s="17"/>
      <c r="RJ9" s="17"/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17"/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17"/>
      <c r="TQ9" s="17"/>
      <c r="TR9" s="17"/>
      <c r="TS9" s="17"/>
      <c r="TT9" s="17"/>
      <c r="TU9" s="17"/>
      <c r="TV9" s="17"/>
      <c r="TW9" s="17"/>
      <c r="TX9" s="17"/>
      <c r="TY9" s="17"/>
      <c r="TZ9" s="17"/>
      <c r="UA9" s="17"/>
      <c r="UB9" s="17"/>
      <c r="UC9" s="17"/>
      <c r="UD9" s="17"/>
      <c r="UE9" s="17"/>
      <c r="UF9" s="17"/>
      <c r="UG9" s="17"/>
      <c r="UH9" s="17"/>
      <c r="UI9" s="17"/>
      <c r="UJ9" s="17"/>
      <c r="UK9" s="17"/>
      <c r="UL9" s="17"/>
      <c r="UM9" s="17"/>
      <c r="UN9" s="17"/>
      <c r="UO9" s="17"/>
      <c r="UP9" s="17"/>
      <c r="UQ9" s="17"/>
      <c r="UR9" s="17"/>
      <c r="US9" s="17"/>
      <c r="UT9" s="17"/>
      <c r="UU9" s="17"/>
      <c r="UV9" s="17"/>
      <c r="UW9" s="17"/>
      <c r="UX9" s="17"/>
      <c r="UY9" s="17"/>
      <c r="UZ9" s="17"/>
      <c r="VA9" s="17"/>
      <c r="VB9" s="17"/>
      <c r="VC9" s="17"/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17"/>
      <c r="WG9" s="17"/>
      <c r="WH9" s="17"/>
      <c r="WI9" s="17"/>
      <c r="WJ9" s="17"/>
      <c r="WK9" s="17"/>
      <c r="WL9" s="17"/>
      <c r="WM9" s="17"/>
      <c r="WN9" s="17"/>
      <c r="WO9" s="17"/>
      <c r="WP9" s="17"/>
      <c r="WQ9" s="17"/>
      <c r="WR9" s="17"/>
      <c r="WS9" s="17"/>
      <c r="WT9" s="17"/>
      <c r="WU9" s="17"/>
      <c r="WV9" s="17"/>
      <c r="WW9" s="17"/>
      <c r="WX9" s="17"/>
      <c r="WY9" s="17"/>
      <c r="WZ9" s="17"/>
      <c r="XA9" s="17"/>
      <c r="XB9" s="17"/>
      <c r="XC9" s="17"/>
      <c r="XD9" s="17"/>
      <c r="XE9" s="17"/>
      <c r="XF9" s="17"/>
      <c r="XG9" s="17"/>
      <c r="XH9" s="17"/>
      <c r="XI9" s="17"/>
      <c r="XJ9" s="17"/>
      <c r="XK9" s="17"/>
      <c r="XL9" s="17"/>
      <c r="XM9" s="17"/>
      <c r="XN9" s="17"/>
      <c r="XO9" s="17"/>
      <c r="XP9" s="17"/>
      <c r="XQ9" s="17"/>
      <c r="XR9" s="17"/>
      <c r="XS9" s="17"/>
      <c r="XT9" s="17"/>
      <c r="XU9" s="17"/>
      <c r="XV9" s="17"/>
      <c r="XW9" s="17"/>
      <c r="XX9" s="17"/>
      <c r="XY9" s="17"/>
      <c r="XZ9" s="17"/>
      <c r="YA9" s="17"/>
      <c r="YB9" s="17"/>
      <c r="YC9" s="17"/>
      <c r="YD9" s="17"/>
      <c r="YE9" s="17"/>
      <c r="YF9" s="17"/>
      <c r="YG9" s="17"/>
      <c r="YH9" s="17"/>
      <c r="YI9" s="17"/>
      <c r="YJ9" s="17"/>
      <c r="YK9" s="17"/>
      <c r="YL9" s="17"/>
      <c r="YM9" s="17"/>
      <c r="YN9" s="17"/>
      <c r="YO9" s="17"/>
      <c r="YP9" s="17"/>
      <c r="YQ9" s="17"/>
      <c r="YR9" s="17"/>
      <c r="YS9" s="17"/>
      <c r="YT9" s="17"/>
      <c r="YU9" s="17"/>
      <c r="YV9" s="17"/>
      <c r="YW9" s="17"/>
      <c r="YX9" s="17"/>
      <c r="YY9" s="17"/>
      <c r="YZ9" s="17"/>
      <c r="ZA9" s="17"/>
      <c r="ZB9" s="17"/>
      <c r="ZC9" s="17"/>
      <c r="ZD9" s="17"/>
      <c r="ZE9" s="17"/>
      <c r="ZF9" s="17"/>
      <c r="ZG9" s="17"/>
      <c r="ZH9" s="17"/>
      <c r="ZI9" s="17"/>
      <c r="ZJ9" s="17"/>
      <c r="ZK9" s="17"/>
      <c r="ZL9" s="17"/>
      <c r="ZM9" s="17"/>
      <c r="ZN9" s="17"/>
      <c r="ZO9" s="17"/>
      <c r="ZP9" s="17"/>
      <c r="ZQ9" s="17"/>
      <c r="ZR9" s="17"/>
      <c r="ZS9" s="17"/>
      <c r="ZT9" s="17"/>
      <c r="ZU9" s="17"/>
      <c r="ZV9" s="17"/>
      <c r="ZW9" s="17"/>
      <c r="ZX9" s="17"/>
      <c r="ZY9" s="17"/>
      <c r="ZZ9" s="17"/>
      <c r="AAA9" s="17"/>
      <c r="AAB9" s="17"/>
      <c r="AAC9" s="17"/>
      <c r="AAD9" s="17"/>
      <c r="AAE9" s="17"/>
      <c r="AAF9" s="17"/>
      <c r="AAG9" s="17"/>
      <c r="AAH9" s="17"/>
      <c r="AAI9" s="17"/>
      <c r="AAJ9" s="17"/>
      <c r="AAK9" s="17"/>
      <c r="AAL9" s="17"/>
      <c r="AAM9" s="17"/>
      <c r="AAN9" s="17"/>
      <c r="AAO9" s="17"/>
      <c r="AAP9" s="17"/>
      <c r="AAQ9" s="17"/>
      <c r="AAR9" s="17"/>
      <c r="AAS9" s="17"/>
      <c r="AAT9" s="17"/>
      <c r="AAU9" s="17"/>
      <c r="AAV9" s="17"/>
      <c r="AAW9" s="17"/>
      <c r="AAX9" s="17"/>
      <c r="AAY9" s="17"/>
      <c r="AAZ9" s="17"/>
      <c r="ABA9" s="17"/>
      <c r="ABB9" s="17"/>
      <c r="ABC9" s="17"/>
      <c r="ABD9" s="17"/>
      <c r="ABE9" s="17"/>
      <c r="ABF9" s="17"/>
      <c r="ABG9" s="17"/>
      <c r="ABH9" s="17"/>
      <c r="ABI9" s="17"/>
      <c r="ABJ9" s="17"/>
      <c r="ABK9" s="17"/>
      <c r="ABL9" s="17"/>
      <c r="ABM9" s="17"/>
      <c r="ABN9" s="17"/>
      <c r="ABO9" s="17"/>
      <c r="ABP9" s="17"/>
      <c r="ABQ9" s="17"/>
      <c r="ABR9" s="17"/>
      <c r="ABS9" s="17"/>
      <c r="ABT9" s="17"/>
      <c r="ABU9" s="17"/>
      <c r="ABV9" s="17"/>
      <c r="ABW9" s="17"/>
      <c r="ABX9" s="17"/>
      <c r="ABY9" s="17"/>
      <c r="ABZ9" s="17"/>
      <c r="ACA9" s="17"/>
      <c r="ACB9" s="17"/>
      <c r="ACC9" s="17"/>
      <c r="ACD9" s="17"/>
      <c r="ACE9" s="17"/>
      <c r="ACF9" s="17"/>
      <c r="ACG9" s="17"/>
      <c r="ACH9" s="17"/>
      <c r="ACI9" s="17"/>
      <c r="ACJ9" s="17"/>
      <c r="ACK9" s="17"/>
      <c r="ACL9" s="17"/>
      <c r="ACM9" s="17"/>
      <c r="ACN9" s="17"/>
      <c r="ACO9" s="17"/>
      <c r="ACP9" s="17"/>
      <c r="ACQ9" s="17"/>
      <c r="ACR9" s="17"/>
      <c r="ACS9" s="17"/>
      <c r="ACT9" s="17"/>
      <c r="ACU9" s="17"/>
      <c r="ACV9" s="17"/>
      <c r="ACW9" s="17"/>
      <c r="ACX9" s="17"/>
      <c r="ACY9" s="17"/>
      <c r="ACZ9" s="17"/>
      <c r="ADA9" s="17"/>
      <c r="ADB9" s="17"/>
      <c r="ADC9" s="17"/>
      <c r="ADD9" s="17"/>
      <c r="ADE9" s="17"/>
      <c r="ADF9" s="17"/>
      <c r="ADG9" s="17"/>
      <c r="ADH9" s="17"/>
      <c r="ADI9" s="17"/>
      <c r="ADJ9" s="17"/>
      <c r="ADK9" s="17"/>
      <c r="ADL9" s="17"/>
      <c r="ADM9" s="17"/>
      <c r="ADN9" s="17"/>
      <c r="ADO9" s="17"/>
      <c r="ADP9" s="17"/>
      <c r="ADQ9" s="17"/>
      <c r="ADR9" s="17"/>
      <c r="ADS9" s="17"/>
      <c r="ADT9" s="17"/>
      <c r="ADU9" s="17"/>
      <c r="ADV9" s="17"/>
      <c r="ADW9" s="17"/>
      <c r="ADX9" s="17"/>
      <c r="ADY9" s="17"/>
      <c r="ADZ9" s="17"/>
      <c r="AEA9" s="17"/>
      <c r="AEB9" s="17"/>
      <c r="AEC9" s="17"/>
      <c r="AED9" s="17"/>
      <c r="AEE9" s="17"/>
      <c r="AEF9" s="17"/>
      <c r="AEG9" s="17"/>
      <c r="AEH9" s="17"/>
      <c r="AEI9" s="17"/>
      <c r="AEJ9" s="17"/>
      <c r="AEK9" s="17"/>
      <c r="AEL9" s="17"/>
      <c r="AEM9" s="17"/>
      <c r="AEN9" s="17"/>
      <c r="AEO9" s="17"/>
      <c r="AEP9" s="17"/>
      <c r="AEQ9" s="17"/>
      <c r="AER9" s="17"/>
      <c r="AES9" s="17"/>
      <c r="AET9" s="17"/>
      <c r="AEU9" s="17"/>
      <c r="AEV9" s="17"/>
      <c r="AEW9" s="17"/>
      <c r="AEX9" s="17"/>
      <c r="AEY9" s="17"/>
      <c r="AEZ9" s="17"/>
      <c r="AFA9" s="17"/>
      <c r="AFB9" s="17"/>
      <c r="AFC9" s="17"/>
      <c r="AFD9" s="17"/>
      <c r="AFE9" s="17"/>
      <c r="AFF9" s="17"/>
      <c r="AFG9" s="17"/>
      <c r="AFH9" s="17"/>
      <c r="AFI9" s="17"/>
      <c r="AFJ9" s="17"/>
      <c r="AFK9" s="17"/>
      <c r="AFL9" s="17"/>
      <c r="AFM9" s="17"/>
      <c r="AFN9" s="17"/>
      <c r="AFO9" s="17"/>
      <c r="AFP9" s="17"/>
      <c r="AFQ9" s="17"/>
      <c r="AFR9" s="17"/>
      <c r="AFS9" s="17"/>
      <c r="AFT9" s="17"/>
      <c r="AFU9" s="17"/>
      <c r="AFV9" s="17"/>
      <c r="AFW9" s="17"/>
      <c r="AFX9" s="17"/>
      <c r="AFY9" s="17"/>
      <c r="AFZ9" s="17"/>
      <c r="AGA9" s="17"/>
      <c r="AGB9" s="17"/>
      <c r="AGC9" s="17"/>
      <c r="AGD9" s="17"/>
      <c r="AGE9" s="17"/>
      <c r="AGF9" s="17"/>
      <c r="AGG9" s="17"/>
      <c r="AGH9" s="17"/>
      <c r="AGI9" s="17"/>
      <c r="AGJ9" s="17"/>
      <c r="AGK9" s="17"/>
      <c r="AGL9" s="17"/>
      <c r="AGM9" s="17"/>
      <c r="AGN9" s="17"/>
      <c r="AGO9" s="17"/>
      <c r="AGP9" s="17"/>
      <c r="AGQ9" s="17"/>
      <c r="AGR9" s="17"/>
      <c r="AGS9" s="17"/>
      <c r="AGT9" s="17"/>
      <c r="AGU9" s="17"/>
      <c r="AGV9" s="17"/>
      <c r="AGW9" s="17"/>
      <c r="AGX9" s="17"/>
      <c r="AGY9" s="17"/>
      <c r="AGZ9" s="17"/>
      <c r="AHA9" s="17"/>
      <c r="AHB9" s="17"/>
      <c r="AHC9" s="17"/>
      <c r="AHD9" s="17"/>
      <c r="AHE9" s="17"/>
      <c r="AHF9" s="17"/>
      <c r="AHG9" s="17"/>
      <c r="AHH9" s="17"/>
      <c r="AHI9" s="17"/>
      <c r="AHJ9" s="17"/>
      <c r="AHK9" s="17"/>
      <c r="AHL9" s="17"/>
      <c r="AHM9" s="17"/>
      <c r="AHN9" s="17"/>
      <c r="AHO9" s="17"/>
      <c r="AHP9" s="17"/>
      <c r="AHQ9" s="17"/>
      <c r="AHR9" s="17"/>
      <c r="AHS9" s="17"/>
      <c r="AHT9" s="17"/>
      <c r="AHU9" s="17"/>
      <c r="AHV9" s="17"/>
      <c r="AHW9" s="17"/>
      <c r="AHX9" s="17"/>
      <c r="AHY9" s="17"/>
      <c r="AHZ9" s="17"/>
      <c r="AIA9" s="17"/>
      <c r="AIB9" s="17"/>
      <c r="AIC9" s="17"/>
      <c r="AID9" s="17"/>
      <c r="AIE9" s="17"/>
      <c r="AIF9" s="17"/>
      <c r="AIG9" s="17"/>
      <c r="AIH9" s="17"/>
      <c r="AII9" s="17"/>
      <c r="AIJ9" s="17"/>
      <c r="AIK9" s="17"/>
      <c r="AIL9" s="17"/>
      <c r="AIM9" s="17"/>
      <c r="AIN9" s="17"/>
      <c r="AIO9" s="17"/>
      <c r="AIP9" s="17"/>
      <c r="AIQ9" s="17"/>
      <c r="AIR9" s="17"/>
      <c r="AIS9" s="17"/>
      <c r="AIT9" s="17"/>
      <c r="AIU9" s="17"/>
      <c r="AIV9" s="17"/>
      <c r="AIW9" s="17"/>
      <c r="AIX9" s="17"/>
      <c r="AIY9" s="17"/>
      <c r="AIZ9" s="17"/>
      <c r="AJA9" s="17"/>
      <c r="AJB9" s="17"/>
      <c r="AJC9" s="17"/>
      <c r="AJD9" s="17"/>
      <c r="AJE9" s="17"/>
      <c r="AJF9" s="17"/>
      <c r="AJG9" s="17"/>
      <c r="AJH9" s="17"/>
      <c r="AJI9" s="17"/>
      <c r="AJJ9" s="17"/>
      <c r="AJK9" s="17"/>
      <c r="AJL9" s="17"/>
      <c r="AJM9" s="17"/>
      <c r="AJN9" s="17"/>
      <c r="AJO9" s="17"/>
      <c r="AJP9" s="17"/>
      <c r="AJQ9" s="17"/>
      <c r="AJR9" s="17"/>
      <c r="AJS9" s="17"/>
      <c r="AJT9" s="17"/>
      <c r="AJU9" s="17"/>
      <c r="AJV9" s="17"/>
      <c r="AJW9" s="17"/>
      <c r="AJX9" s="17"/>
      <c r="AJY9" s="17"/>
      <c r="AJZ9" s="17"/>
      <c r="AKA9" s="17"/>
      <c r="AKB9" s="17"/>
      <c r="AKC9" s="17"/>
      <c r="AKD9" s="17"/>
      <c r="AKE9" s="17"/>
      <c r="AKF9" s="17"/>
      <c r="AKG9" s="17"/>
      <c r="AKH9" s="17"/>
      <c r="AKI9" s="17"/>
      <c r="AKJ9" s="17"/>
      <c r="AKK9" s="17"/>
      <c r="AKL9" s="17"/>
      <c r="AKM9" s="17"/>
      <c r="AKN9" s="17"/>
      <c r="AKO9" s="17"/>
      <c r="AKP9" s="17"/>
      <c r="AKQ9" s="17"/>
      <c r="AKR9" s="17"/>
      <c r="AKS9" s="17"/>
      <c r="AKT9" s="17"/>
      <c r="AKU9" s="17"/>
      <c r="AKV9" s="17"/>
      <c r="AKW9" s="17"/>
      <c r="AKX9" s="17"/>
      <c r="AKY9" s="17"/>
      <c r="AKZ9" s="17"/>
      <c r="ALA9" s="17"/>
      <c r="ALB9" s="17"/>
      <c r="ALC9" s="17"/>
      <c r="ALD9" s="17"/>
      <c r="ALE9" s="17"/>
      <c r="ALF9" s="17"/>
      <c r="ALG9" s="17"/>
      <c r="ALH9" s="17"/>
      <c r="ALI9" s="17"/>
      <c r="ALJ9" s="17"/>
      <c r="ALK9" s="17"/>
      <c r="ALL9" s="17"/>
      <c r="ALM9" s="17"/>
      <c r="ALN9" s="17"/>
      <c r="ALO9" s="17"/>
      <c r="ALP9" s="17"/>
      <c r="ALQ9" s="17"/>
      <c r="ALR9" s="17"/>
      <c r="ALS9" s="17"/>
      <c r="ALT9" s="17"/>
      <c r="ALU9" s="17"/>
      <c r="ALV9" s="17"/>
      <c r="ALW9" s="17"/>
      <c r="ALX9" s="17"/>
      <c r="ALY9" s="17"/>
      <c r="ALZ9" s="17"/>
      <c r="AMA9" s="17"/>
      <c r="AMB9" s="17"/>
      <c r="AMC9" s="17"/>
      <c r="AMD9" s="17"/>
      <c r="AME9" s="17"/>
      <c r="AMF9" s="17"/>
      <c r="AMG9" s="17"/>
      <c r="AMH9" s="17"/>
      <c r="AMI9" s="17"/>
    </row>
    <row r="10" spans="1:1023" s="18" customFormat="1" ht="11.25" x14ac:dyDescent="0.2">
      <c r="A10" s="15"/>
      <c r="B10" s="24"/>
      <c r="C10" s="25"/>
      <c r="D10" s="26"/>
      <c r="E10" s="27" t="s">
        <v>81</v>
      </c>
      <c r="F10" s="26">
        <v>1</v>
      </c>
      <c r="G10" s="28">
        <v>113.375</v>
      </c>
      <c r="H10" s="31">
        <f>Table1[[#This Row],[LENGTH (in.)]]*Table1[[#This Row],[QTY.]]</f>
        <v>113.375</v>
      </c>
      <c r="I10" s="16"/>
      <c r="J10" s="16"/>
      <c r="K10" s="16"/>
      <c r="L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17"/>
      <c r="KP10" s="17"/>
      <c r="KQ10" s="17"/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17"/>
      <c r="MT10" s="17"/>
      <c r="MU10" s="17"/>
      <c r="MV10" s="17"/>
      <c r="MW10" s="17"/>
      <c r="MX10" s="17"/>
      <c r="MY10" s="17"/>
      <c r="MZ10" s="17"/>
      <c r="NA10" s="17"/>
      <c r="NB10" s="17"/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17"/>
      <c r="OX10" s="17"/>
      <c r="OY10" s="17"/>
      <c r="OZ10" s="17"/>
      <c r="PA10" s="17"/>
      <c r="PB10" s="17"/>
      <c r="PC10" s="17"/>
      <c r="PD10" s="17"/>
      <c r="PE10" s="17"/>
      <c r="PF10" s="17"/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17"/>
      <c r="RA10" s="17"/>
      <c r="RB10" s="17"/>
      <c r="RC10" s="17"/>
      <c r="RD10" s="17"/>
      <c r="RE10" s="17"/>
      <c r="RF10" s="17"/>
      <c r="RG10" s="17"/>
      <c r="RH10" s="17"/>
      <c r="RI10" s="17"/>
      <c r="RJ10" s="17"/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17"/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17"/>
      <c r="TQ10" s="17"/>
      <c r="TR10" s="17"/>
      <c r="TS10" s="17"/>
      <c r="TT10" s="17"/>
      <c r="TU10" s="17"/>
      <c r="TV10" s="17"/>
      <c r="TW10" s="17"/>
      <c r="TX10" s="17"/>
      <c r="TY10" s="17"/>
      <c r="TZ10" s="17"/>
      <c r="UA10" s="17"/>
      <c r="UB10" s="17"/>
      <c r="UC10" s="17"/>
      <c r="UD10" s="17"/>
      <c r="UE10" s="17"/>
      <c r="UF10" s="17"/>
      <c r="UG10" s="17"/>
      <c r="UH10" s="17"/>
      <c r="UI10" s="17"/>
      <c r="UJ10" s="17"/>
      <c r="UK10" s="17"/>
      <c r="UL10" s="17"/>
      <c r="UM10" s="17"/>
      <c r="UN10" s="17"/>
      <c r="UO10" s="17"/>
      <c r="UP10" s="17"/>
      <c r="UQ10" s="17"/>
      <c r="UR10" s="17"/>
      <c r="US10" s="17"/>
      <c r="UT10" s="17"/>
      <c r="UU10" s="17"/>
      <c r="UV10" s="17"/>
      <c r="UW10" s="17"/>
      <c r="UX10" s="17"/>
      <c r="UY10" s="17"/>
      <c r="UZ10" s="17"/>
      <c r="VA10" s="17"/>
      <c r="VB10" s="17"/>
      <c r="VC10" s="17"/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17"/>
      <c r="WG10" s="17"/>
      <c r="WH10" s="17"/>
      <c r="WI10" s="17"/>
      <c r="WJ10" s="17"/>
      <c r="WK10" s="17"/>
      <c r="WL10" s="17"/>
      <c r="WM10" s="17"/>
      <c r="WN10" s="17"/>
      <c r="WO10" s="17"/>
      <c r="WP10" s="17"/>
      <c r="WQ10" s="17"/>
      <c r="WR10" s="17"/>
      <c r="WS10" s="17"/>
      <c r="WT10" s="17"/>
      <c r="WU10" s="17"/>
      <c r="WV10" s="17"/>
      <c r="WW10" s="17"/>
      <c r="WX10" s="17"/>
      <c r="WY10" s="17"/>
      <c r="WZ10" s="17"/>
      <c r="XA10" s="17"/>
      <c r="XB10" s="17"/>
      <c r="XC10" s="17"/>
      <c r="XD10" s="17"/>
      <c r="XE10" s="17"/>
      <c r="XF10" s="17"/>
      <c r="XG10" s="17"/>
      <c r="XH10" s="17"/>
      <c r="XI10" s="17"/>
      <c r="XJ10" s="17"/>
      <c r="XK10" s="17"/>
      <c r="XL10" s="17"/>
      <c r="XM10" s="17"/>
      <c r="XN10" s="17"/>
      <c r="XO10" s="17"/>
      <c r="XP10" s="17"/>
      <c r="XQ10" s="17"/>
      <c r="XR10" s="17"/>
      <c r="XS10" s="17"/>
      <c r="XT10" s="17"/>
      <c r="XU10" s="17"/>
      <c r="XV10" s="17"/>
      <c r="XW10" s="17"/>
      <c r="XX10" s="17"/>
      <c r="XY10" s="17"/>
      <c r="XZ10" s="17"/>
      <c r="YA10" s="17"/>
      <c r="YB10" s="17"/>
      <c r="YC10" s="17"/>
      <c r="YD10" s="17"/>
      <c r="YE10" s="17"/>
      <c r="YF10" s="17"/>
      <c r="YG10" s="17"/>
      <c r="YH10" s="17"/>
      <c r="YI10" s="17"/>
      <c r="YJ10" s="17"/>
      <c r="YK10" s="17"/>
      <c r="YL10" s="17"/>
      <c r="YM10" s="17"/>
      <c r="YN10" s="17"/>
      <c r="YO10" s="17"/>
      <c r="YP10" s="17"/>
      <c r="YQ10" s="17"/>
      <c r="YR10" s="17"/>
      <c r="YS10" s="17"/>
      <c r="YT10" s="17"/>
      <c r="YU10" s="17"/>
      <c r="YV10" s="17"/>
      <c r="YW10" s="17"/>
      <c r="YX10" s="17"/>
      <c r="YY10" s="17"/>
      <c r="YZ10" s="17"/>
      <c r="ZA10" s="17"/>
      <c r="ZB10" s="17"/>
      <c r="ZC10" s="17"/>
      <c r="ZD10" s="17"/>
      <c r="ZE10" s="17"/>
      <c r="ZF10" s="17"/>
      <c r="ZG10" s="17"/>
      <c r="ZH10" s="17"/>
      <c r="ZI10" s="17"/>
      <c r="ZJ10" s="17"/>
      <c r="ZK10" s="17"/>
      <c r="ZL10" s="17"/>
      <c r="ZM10" s="17"/>
      <c r="ZN10" s="17"/>
      <c r="ZO10" s="17"/>
      <c r="ZP10" s="17"/>
      <c r="ZQ10" s="17"/>
      <c r="ZR10" s="17"/>
      <c r="ZS10" s="17"/>
      <c r="ZT10" s="17"/>
      <c r="ZU10" s="17"/>
      <c r="ZV10" s="17"/>
      <c r="ZW10" s="17"/>
      <c r="ZX10" s="17"/>
      <c r="ZY10" s="17"/>
      <c r="ZZ10" s="17"/>
      <c r="AAA10" s="17"/>
      <c r="AAB10" s="17"/>
      <c r="AAC10" s="17"/>
      <c r="AAD10" s="17"/>
      <c r="AAE10" s="17"/>
      <c r="AAF10" s="17"/>
      <c r="AAG10" s="17"/>
      <c r="AAH10" s="17"/>
      <c r="AAI10" s="17"/>
      <c r="AAJ10" s="17"/>
      <c r="AAK10" s="17"/>
      <c r="AAL10" s="17"/>
      <c r="AAM10" s="17"/>
      <c r="AAN10" s="17"/>
      <c r="AAO10" s="17"/>
      <c r="AAP10" s="17"/>
      <c r="AAQ10" s="17"/>
      <c r="AAR10" s="17"/>
      <c r="AAS10" s="17"/>
      <c r="AAT10" s="17"/>
      <c r="AAU10" s="17"/>
      <c r="AAV10" s="17"/>
      <c r="AAW10" s="17"/>
      <c r="AAX10" s="17"/>
      <c r="AAY10" s="17"/>
      <c r="AAZ10" s="17"/>
      <c r="ABA10" s="17"/>
      <c r="ABB10" s="17"/>
      <c r="ABC10" s="17"/>
      <c r="ABD10" s="17"/>
      <c r="ABE10" s="17"/>
      <c r="ABF10" s="17"/>
      <c r="ABG10" s="17"/>
      <c r="ABH10" s="17"/>
      <c r="ABI10" s="17"/>
      <c r="ABJ10" s="17"/>
      <c r="ABK10" s="17"/>
      <c r="ABL10" s="17"/>
      <c r="ABM10" s="17"/>
      <c r="ABN10" s="17"/>
      <c r="ABO10" s="17"/>
      <c r="ABP10" s="17"/>
      <c r="ABQ10" s="17"/>
      <c r="ABR10" s="17"/>
      <c r="ABS10" s="17"/>
      <c r="ABT10" s="17"/>
      <c r="ABU10" s="17"/>
      <c r="ABV10" s="17"/>
      <c r="ABW10" s="17"/>
      <c r="ABX10" s="17"/>
      <c r="ABY10" s="17"/>
      <c r="ABZ10" s="17"/>
      <c r="ACA10" s="17"/>
      <c r="ACB10" s="17"/>
      <c r="ACC10" s="17"/>
      <c r="ACD10" s="17"/>
      <c r="ACE10" s="17"/>
      <c r="ACF10" s="17"/>
      <c r="ACG10" s="17"/>
      <c r="ACH10" s="17"/>
      <c r="ACI10" s="17"/>
      <c r="ACJ10" s="17"/>
      <c r="ACK10" s="17"/>
      <c r="ACL10" s="17"/>
      <c r="ACM10" s="17"/>
      <c r="ACN10" s="17"/>
      <c r="ACO10" s="17"/>
      <c r="ACP10" s="17"/>
      <c r="ACQ10" s="17"/>
      <c r="ACR10" s="17"/>
      <c r="ACS10" s="17"/>
      <c r="ACT10" s="17"/>
      <c r="ACU10" s="17"/>
      <c r="ACV10" s="17"/>
      <c r="ACW10" s="17"/>
      <c r="ACX10" s="17"/>
      <c r="ACY10" s="17"/>
      <c r="ACZ10" s="17"/>
      <c r="ADA10" s="17"/>
      <c r="ADB10" s="17"/>
      <c r="ADC10" s="17"/>
      <c r="ADD10" s="17"/>
      <c r="ADE10" s="17"/>
      <c r="ADF10" s="17"/>
      <c r="ADG10" s="17"/>
      <c r="ADH10" s="17"/>
      <c r="ADI10" s="17"/>
      <c r="ADJ10" s="17"/>
      <c r="ADK10" s="17"/>
      <c r="ADL10" s="17"/>
      <c r="ADM10" s="17"/>
      <c r="ADN10" s="17"/>
      <c r="ADO10" s="17"/>
      <c r="ADP10" s="17"/>
      <c r="ADQ10" s="17"/>
      <c r="ADR10" s="17"/>
      <c r="ADS10" s="17"/>
      <c r="ADT10" s="17"/>
      <c r="ADU10" s="17"/>
      <c r="ADV10" s="17"/>
      <c r="ADW10" s="17"/>
      <c r="ADX10" s="17"/>
      <c r="ADY10" s="17"/>
      <c r="ADZ10" s="17"/>
      <c r="AEA10" s="17"/>
      <c r="AEB10" s="17"/>
      <c r="AEC10" s="17"/>
      <c r="AED10" s="17"/>
      <c r="AEE10" s="17"/>
      <c r="AEF10" s="17"/>
      <c r="AEG10" s="17"/>
      <c r="AEH10" s="17"/>
      <c r="AEI10" s="17"/>
      <c r="AEJ10" s="17"/>
      <c r="AEK10" s="17"/>
      <c r="AEL10" s="17"/>
      <c r="AEM10" s="17"/>
      <c r="AEN10" s="17"/>
      <c r="AEO10" s="17"/>
      <c r="AEP10" s="17"/>
      <c r="AEQ10" s="17"/>
      <c r="AER10" s="17"/>
      <c r="AES10" s="17"/>
      <c r="AET10" s="17"/>
      <c r="AEU10" s="17"/>
      <c r="AEV10" s="17"/>
      <c r="AEW10" s="17"/>
      <c r="AEX10" s="17"/>
      <c r="AEY10" s="17"/>
      <c r="AEZ10" s="17"/>
      <c r="AFA10" s="17"/>
      <c r="AFB10" s="17"/>
      <c r="AFC10" s="17"/>
      <c r="AFD10" s="17"/>
      <c r="AFE10" s="17"/>
      <c r="AFF10" s="17"/>
      <c r="AFG10" s="17"/>
      <c r="AFH10" s="17"/>
      <c r="AFI10" s="17"/>
      <c r="AFJ10" s="17"/>
      <c r="AFK10" s="17"/>
      <c r="AFL10" s="17"/>
      <c r="AFM10" s="17"/>
      <c r="AFN10" s="17"/>
      <c r="AFO10" s="17"/>
      <c r="AFP10" s="17"/>
      <c r="AFQ10" s="17"/>
      <c r="AFR10" s="17"/>
      <c r="AFS10" s="17"/>
      <c r="AFT10" s="17"/>
      <c r="AFU10" s="17"/>
      <c r="AFV10" s="17"/>
      <c r="AFW10" s="17"/>
      <c r="AFX10" s="17"/>
      <c r="AFY10" s="17"/>
      <c r="AFZ10" s="17"/>
      <c r="AGA10" s="17"/>
      <c r="AGB10" s="17"/>
      <c r="AGC10" s="17"/>
      <c r="AGD10" s="17"/>
      <c r="AGE10" s="17"/>
      <c r="AGF10" s="17"/>
      <c r="AGG10" s="17"/>
      <c r="AGH10" s="17"/>
      <c r="AGI10" s="17"/>
      <c r="AGJ10" s="17"/>
      <c r="AGK10" s="17"/>
      <c r="AGL10" s="17"/>
      <c r="AGM10" s="17"/>
      <c r="AGN10" s="17"/>
      <c r="AGO10" s="17"/>
      <c r="AGP10" s="17"/>
      <c r="AGQ10" s="17"/>
      <c r="AGR10" s="17"/>
      <c r="AGS10" s="17"/>
      <c r="AGT10" s="17"/>
      <c r="AGU10" s="17"/>
      <c r="AGV10" s="17"/>
      <c r="AGW10" s="17"/>
      <c r="AGX10" s="17"/>
      <c r="AGY10" s="17"/>
      <c r="AGZ10" s="17"/>
      <c r="AHA10" s="17"/>
      <c r="AHB10" s="17"/>
      <c r="AHC10" s="17"/>
      <c r="AHD10" s="17"/>
      <c r="AHE10" s="17"/>
      <c r="AHF10" s="17"/>
      <c r="AHG10" s="17"/>
      <c r="AHH10" s="17"/>
      <c r="AHI10" s="17"/>
      <c r="AHJ10" s="17"/>
      <c r="AHK10" s="17"/>
      <c r="AHL10" s="17"/>
      <c r="AHM10" s="17"/>
      <c r="AHN10" s="17"/>
      <c r="AHO10" s="17"/>
      <c r="AHP10" s="17"/>
      <c r="AHQ10" s="17"/>
      <c r="AHR10" s="17"/>
      <c r="AHS10" s="17"/>
      <c r="AHT10" s="17"/>
      <c r="AHU10" s="17"/>
      <c r="AHV10" s="17"/>
      <c r="AHW10" s="17"/>
      <c r="AHX10" s="17"/>
      <c r="AHY10" s="17"/>
      <c r="AHZ10" s="17"/>
      <c r="AIA10" s="17"/>
      <c r="AIB10" s="17"/>
      <c r="AIC10" s="17"/>
      <c r="AID10" s="17"/>
      <c r="AIE10" s="17"/>
      <c r="AIF10" s="17"/>
      <c r="AIG10" s="17"/>
      <c r="AIH10" s="17"/>
      <c r="AII10" s="17"/>
      <c r="AIJ10" s="17"/>
      <c r="AIK10" s="17"/>
      <c r="AIL10" s="17"/>
      <c r="AIM10" s="17"/>
      <c r="AIN10" s="17"/>
      <c r="AIO10" s="17"/>
      <c r="AIP10" s="17"/>
      <c r="AIQ10" s="17"/>
      <c r="AIR10" s="17"/>
      <c r="AIS10" s="17"/>
      <c r="AIT10" s="17"/>
      <c r="AIU10" s="17"/>
      <c r="AIV10" s="17"/>
      <c r="AIW10" s="17"/>
      <c r="AIX10" s="17"/>
      <c r="AIY10" s="17"/>
      <c r="AIZ10" s="17"/>
      <c r="AJA10" s="17"/>
      <c r="AJB10" s="17"/>
      <c r="AJC10" s="17"/>
      <c r="AJD10" s="17"/>
      <c r="AJE10" s="17"/>
      <c r="AJF10" s="17"/>
      <c r="AJG10" s="17"/>
      <c r="AJH10" s="17"/>
      <c r="AJI10" s="17"/>
      <c r="AJJ10" s="17"/>
      <c r="AJK10" s="17"/>
      <c r="AJL10" s="17"/>
      <c r="AJM10" s="17"/>
      <c r="AJN10" s="17"/>
      <c r="AJO10" s="17"/>
      <c r="AJP10" s="17"/>
      <c r="AJQ10" s="17"/>
      <c r="AJR10" s="17"/>
      <c r="AJS10" s="17"/>
      <c r="AJT10" s="17"/>
      <c r="AJU10" s="17"/>
      <c r="AJV10" s="17"/>
      <c r="AJW10" s="17"/>
      <c r="AJX10" s="17"/>
      <c r="AJY10" s="17"/>
      <c r="AJZ10" s="17"/>
      <c r="AKA10" s="17"/>
      <c r="AKB10" s="17"/>
      <c r="AKC10" s="17"/>
      <c r="AKD10" s="17"/>
      <c r="AKE10" s="17"/>
      <c r="AKF10" s="17"/>
      <c r="AKG10" s="17"/>
      <c r="AKH10" s="17"/>
      <c r="AKI10" s="17"/>
      <c r="AKJ10" s="17"/>
      <c r="AKK10" s="17"/>
      <c r="AKL10" s="17"/>
      <c r="AKM10" s="17"/>
      <c r="AKN10" s="17"/>
      <c r="AKO10" s="17"/>
      <c r="AKP10" s="17"/>
      <c r="AKQ10" s="17"/>
      <c r="AKR10" s="17"/>
      <c r="AKS10" s="17"/>
      <c r="AKT10" s="17"/>
      <c r="AKU10" s="17"/>
      <c r="AKV10" s="17"/>
      <c r="AKW10" s="17"/>
      <c r="AKX10" s="17"/>
      <c r="AKY10" s="17"/>
      <c r="AKZ10" s="17"/>
      <c r="ALA10" s="17"/>
      <c r="ALB10" s="17"/>
      <c r="ALC10" s="17"/>
      <c r="ALD10" s="17"/>
      <c r="ALE10" s="17"/>
      <c r="ALF10" s="17"/>
      <c r="ALG10" s="17"/>
      <c r="ALH10" s="17"/>
      <c r="ALI10" s="17"/>
      <c r="ALJ10" s="17"/>
      <c r="ALK10" s="17"/>
      <c r="ALL10" s="17"/>
      <c r="ALM10" s="17"/>
      <c r="ALN10" s="17"/>
      <c r="ALO10" s="17"/>
      <c r="ALP10" s="17"/>
      <c r="ALQ10" s="17"/>
      <c r="ALR10" s="17"/>
      <c r="ALS10" s="17"/>
      <c r="ALT10" s="17"/>
      <c r="ALU10" s="17"/>
      <c r="ALV10" s="17"/>
      <c r="ALW10" s="17"/>
      <c r="ALX10" s="17"/>
      <c r="ALY10" s="17"/>
      <c r="ALZ10" s="17"/>
      <c r="AMA10" s="17"/>
      <c r="AMB10" s="17"/>
      <c r="AMC10" s="17"/>
      <c r="AMD10" s="17"/>
      <c r="AME10" s="17"/>
      <c r="AMF10" s="17"/>
      <c r="AMG10" s="17"/>
      <c r="AMH10" s="17"/>
      <c r="AMI10" s="17"/>
    </row>
    <row r="11" spans="1:1023" s="18" customFormat="1" ht="11.25" x14ac:dyDescent="0.2">
      <c r="A11" s="15"/>
      <c r="B11" s="24"/>
      <c r="C11" s="25"/>
      <c r="D11" s="26"/>
      <c r="E11" s="27" t="s">
        <v>81</v>
      </c>
      <c r="F11" s="26">
        <v>2</v>
      </c>
      <c r="G11" s="28">
        <v>79.5</v>
      </c>
      <c r="H11" s="31">
        <f>Table1[[#This Row],[LENGTH (in.)]]*Table1[[#This Row],[QTY.]]</f>
        <v>159</v>
      </c>
      <c r="I11" s="16"/>
      <c r="J11" s="16"/>
      <c r="K11" s="16"/>
      <c r="L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17"/>
      <c r="KP11" s="17"/>
      <c r="KQ11" s="17"/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17"/>
      <c r="MT11" s="17"/>
      <c r="MU11" s="17"/>
      <c r="MV11" s="17"/>
      <c r="MW11" s="17"/>
      <c r="MX11" s="17"/>
      <c r="MY11" s="17"/>
      <c r="MZ11" s="17"/>
      <c r="NA11" s="17"/>
      <c r="NB11" s="17"/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17"/>
      <c r="OX11" s="17"/>
      <c r="OY11" s="17"/>
      <c r="OZ11" s="17"/>
      <c r="PA11" s="17"/>
      <c r="PB11" s="17"/>
      <c r="PC11" s="17"/>
      <c r="PD11" s="17"/>
      <c r="PE11" s="17"/>
      <c r="PF11" s="17"/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17"/>
      <c r="RA11" s="17"/>
      <c r="RB11" s="17"/>
      <c r="RC11" s="17"/>
      <c r="RD11" s="17"/>
      <c r="RE11" s="17"/>
      <c r="RF11" s="17"/>
      <c r="RG11" s="17"/>
      <c r="RH11" s="17"/>
      <c r="RI11" s="17"/>
      <c r="RJ11" s="17"/>
      <c r="RK11" s="17"/>
      <c r="RL11" s="17"/>
      <c r="RM11" s="17"/>
      <c r="RN11" s="17"/>
      <c r="RO11" s="17"/>
      <c r="RP11" s="17"/>
      <c r="RQ11" s="17"/>
      <c r="RR11" s="17"/>
      <c r="RS11" s="17"/>
      <c r="RT11" s="17"/>
      <c r="RU11" s="17"/>
      <c r="RV11" s="17"/>
      <c r="RW11" s="17"/>
      <c r="RX11" s="17"/>
      <c r="RY11" s="17"/>
      <c r="RZ11" s="17"/>
      <c r="SA11" s="17"/>
      <c r="SB11" s="17"/>
      <c r="SC11" s="17"/>
      <c r="SD11" s="17"/>
      <c r="SE11" s="17"/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17"/>
      <c r="TQ11" s="17"/>
      <c r="TR11" s="17"/>
      <c r="TS11" s="17"/>
      <c r="TT11" s="17"/>
      <c r="TU11" s="17"/>
      <c r="TV11" s="17"/>
      <c r="TW11" s="17"/>
      <c r="TX11" s="17"/>
      <c r="TY11" s="17"/>
      <c r="TZ11" s="17"/>
      <c r="UA11" s="17"/>
      <c r="UB11" s="17"/>
      <c r="UC11" s="17"/>
      <c r="UD11" s="17"/>
      <c r="UE11" s="17"/>
      <c r="UF11" s="17"/>
      <c r="UG11" s="17"/>
      <c r="UH11" s="17"/>
      <c r="UI11" s="17"/>
      <c r="UJ11" s="17"/>
      <c r="UK11" s="17"/>
      <c r="UL11" s="17"/>
      <c r="UM11" s="17"/>
      <c r="UN11" s="17"/>
      <c r="UO11" s="17"/>
      <c r="UP11" s="17"/>
      <c r="UQ11" s="17"/>
      <c r="UR11" s="17"/>
      <c r="US11" s="17"/>
      <c r="UT11" s="17"/>
      <c r="UU11" s="17"/>
      <c r="UV11" s="17"/>
      <c r="UW11" s="17"/>
      <c r="UX11" s="17"/>
      <c r="UY11" s="17"/>
      <c r="UZ11" s="17"/>
      <c r="VA11" s="17"/>
      <c r="VB11" s="17"/>
      <c r="VC11" s="17"/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17"/>
      <c r="WG11" s="17"/>
      <c r="WH11" s="17"/>
      <c r="WI11" s="17"/>
      <c r="WJ11" s="17"/>
      <c r="WK11" s="17"/>
      <c r="WL11" s="17"/>
      <c r="WM11" s="17"/>
      <c r="WN11" s="17"/>
      <c r="WO11" s="17"/>
      <c r="WP11" s="17"/>
      <c r="WQ11" s="17"/>
      <c r="WR11" s="17"/>
      <c r="WS11" s="17"/>
      <c r="WT11" s="17"/>
      <c r="WU11" s="17"/>
      <c r="WV11" s="17"/>
      <c r="WW11" s="17"/>
      <c r="WX11" s="17"/>
      <c r="WY11" s="17"/>
      <c r="WZ11" s="17"/>
      <c r="XA11" s="17"/>
      <c r="XB11" s="17"/>
      <c r="XC11" s="17"/>
      <c r="XD11" s="17"/>
      <c r="XE11" s="17"/>
      <c r="XF11" s="17"/>
      <c r="XG11" s="17"/>
      <c r="XH11" s="17"/>
      <c r="XI11" s="17"/>
      <c r="XJ11" s="17"/>
      <c r="XK11" s="17"/>
      <c r="XL11" s="17"/>
      <c r="XM11" s="17"/>
      <c r="XN11" s="17"/>
      <c r="XO11" s="17"/>
      <c r="XP11" s="17"/>
      <c r="XQ11" s="17"/>
      <c r="XR11" s="17"/>
      <c r="XS11" s="17"/>
      <c r="XT11" s="17"/>
      <c r="XU11" s="17"/>
      <c r="XV11" s="17"/>
      <c r="XW11" s="17"/>
      <c r="XX11" s="17"/>
      <c r="XY11" s="17"/>
      <c r="XZ11" s="17"/>
      <c r="YA11" s="17"/>
      <c r="YB11" s="17"/>
      <c r="YC11" s="17"/>
      <c r="YD11" s="17"/>
      <c r="YE11" s="17"/>
      <c r="YF11" s="17"/>
      <c r="YG11" s="17"/>
      <c r="YH11" s="17"/>
      <c r="YI11" s="17"/>
      <c r="YJ11" s="17"/>
      <c r="YK11" s="17"/>
      <c r="YL11" s="17"/>
      <c r="YM11" s="17"/>
      <c r="YN11" s="17"/>
      <c r="YO11" s="17"/>
      <c r="YP11" s="17"/>
      <c r="YQ11" s="17"/>
      <c r="YR11" s="17"/>
      <c r="YS11" s="17"/>
      <c r="YT11" s="17"/>
      <c r="YU11" s="17"/>
      <c r="YV11" s="17"/>
      <c r="YW11" s="17"/>
      <c r="YX11" s="17"/>
      <c r="YY11" s="17"/>
      <c r="YZ11" s="17"/>
      <c r="ZA11" s="17"/>
      <c r="ZB11" s="17"/>
      <c r="ZC11" s="17"/>
      <c r="ZD11" s="17"/>
      <c r="ZE11" s="17"/>
      <c r="ZF11" s="17"/>
      <c r="ZG11" s="17"/>
      <c r="ZH11" s="17"/>
      <c r="ZI11" s="17"/>
      <c r="ZJ11" s="17"/>
      <c r="ZK11" s="17"/>
      <c r="ZL11" s="17"/>
      <c r="ZM11" s="17"/>
      <c r="ZN11" s="17"/>
      <c r="ZO11" s="17"/>
      <c r="ZP11" s="17"/>
      <c r="ZQ11" s="17"/>
      <c r="ZR11" s="17"/>
      <c r="ZS11" s="17"/>
      <c r="ZT11" s="17"/>
      <c r="ZU11" s="17"/>
      <c r="ZV11" s="17"/>
      <c r="ZW11" s="17"/>
      <c r="ZX11" s="17"/>
      <c r="ZY11" s="17"/>
      <c r="ZZ11" s="17"/>
      <c r="AAA11" s="17"/>
      <c r="AAB11" s="17"/>
      <c r="AAC11" s="17"/>
      <c r="AAD11" s="17"/>
      <c r="AAE11" s="17"/>
      <c r="AAF11" s="17"/>
      <c r="AAG11" s="17"/>
      <c r="AAH11" s="17"/>
      <c r="AAI11" s="17"/>
      <c r="AAJ11" s="17"/>
      <c r="AAK11" s="17"/>
      <c r="AAL11" s="17"/>
      <c r="AAM11" s="17"/>
      <c r="AAN11" s="17"/>
      <c r="AAO11" s="17"/>
      <c r="AAP11" s="17"/>
      <c r="AAQ11" s="17"/>
      <c r="AAR11" s="17"/>
      <c r="AAS11" s="17"/>
      <c r="AAT11" s="17"/>
      <c r="AAU11" s="17"/>
      <c r="AAV11" s="17"/>
      <c r="AAW11" s="17"/>
      <c r="AAX11" s="17"/>
      <c r="AAY11" s="17"/>
      <c r="AAZ11" s="17"/>
      <c r="ABA11" s="17"/>
      <c r="ABB11" s="17"/>
      <c r="ABC11" s="17"/>
      <c r="ABD11" s="17"/>
      <c r="ABE11" s="17"/>
      <c r="ABF11" s="17"/>
      <c r="ABG11" s="17"/>
      <c r="ABH11" s="17"/>
      <c r="ABI11" s="17"/>
      <c r="ABJ11" s="17"/>
      <c r="ABK11" s="17"/>
      <c r="ABL11" s="17"/>
      <c r="ABM11" s="17"/>
      <c r="ABN11" s="17"/>
      <c r="ABO11" s="17"/>
      <c r="ABP11" s="17"/>
      <c r="ABQ11" s="17"/>
      <c r="ABR11" s="17"/>
      <c r="ABS11" s="17"/>
      <c r="ABT11" s="17"/>
      <c r="ABU11" s="17"/>
      <c r="ABV11" s="17"/>
      <c r="ABW11" s="17"/>
      <c r="ABX11" s="17"/>
      <c r="ABY11" s="17"/>
      <c r="ABZ11" s="17"/>
      <c r="ACA11" s="17"/>
      <c r="ACB11" s="17"/>
      <c r="ACC11" s="17"/>
      <c r="ACD11" s="17"/>
      <c r="ACE11" s="17"/>
      <c r="ACF11" s="17"/>
      <c r="ACG11" s="17"/>
      <c r="ACH11" s="17"/>
      <c r="ACI11" s="17"/>
      <c r="ACJ11" s="17"/>
      <c r="ACK11" s="17"/>
      <c r="ACL11" s="17"/>
      <c r="ACM11" s="17"/>
      <c r="ACN11" s="17"/>
      <c r="ACO11" s="17"/>
      <c r="ACP11" s="17"/>
      <c r="ACQ11" s="17"/>
      <c r="ACR11" s="17"/>
      <c r="ACS11" s="17"/>
      <c r="ACT11" s="17"/>
      <c r="ACU11" s="17"/>
      <c r="ACV11" s="17"/>
      <c r="ACW11" s="17"/>
      <c r="ACX11" s="17"/>
      <c r="ACY11" s="17"/>
      <c r="ACZ11" s="17"/>
      <c r="ADA11" s="17"/>
      <c r="ADB11" s="17"/>
      <c r="ADC11" s="17"/>
      <c r="ADD11" s="17"/>
      <c r="ADE11" s="17"/>
      <c r="ADF11" s="17"/>
      <c r="ADG11" s="17"/>
      <c r="ADH11" s="17"/>
      <c r="ADI11" s="17"/>
      <c r="ADJ11" s="17"/>
      <c r="ADK11" s="17"/>
      <c r="ADL11" s="17"/>
      <c r="ADM11" s="17"/>
      <c r="ADN11" s="17"/>
      <c r="ADO11" s="17"/>
      <c r="ADP11" s="17"/>
      <c r="ADQ11" s="17"/>
      <c r="ADR11" s="17"/>
      <c r="ADS11" s="17"/>
      <c r="ADT11" s="17"/>
      <c r="ADU11" s="17"/>
      <c r="ADV11" s="17"/>
      <c r="ADW11" s="17"/>
      <c r="ADX11" s="17"/>
      <c r="ADY11" s="17"/>
      <c r="ADZ11" s="17"/>
      <c r="AEA11" s="17"/>
      <c r="AEB11" s="17"/>
      <c r="AEC11" s="17"/>
      <c r="AED11" s="17"/>
      <c r="AEE11" s="17"/>
      <c r="AEF11" s="17"/>
      <c r="AEG11" s="17"/>
      <c r="AEH11" s="17"/>
      <c r="AEI11" s="17"/>
      <c r="AEJ11" s="17"/>
      <c r="AEK11" s="17"/>
      <c r="AEL11" s="17"/>
      <c r="AEM11" s="17"/>
      <c r="AEN11" s="17"/>
      <c r="AEO11" s="17"/>
      <c r="AEP11" s="17"/>
      <c r="AEQ11" s="17"/>
      <c r="AER11" s="17"/>
      <c r="AES11" s="17"/>
      <c r="AET11" s="17"/>
      <c r="AEU11" s="17"/>
      <c r="AEV11" s="17"/>
      <c r="AEW11" s="17"/>
      <c r="AEX11" s="17"/>
      <c r="AEY11" s="17"/>
      <c r="AEZ11" s="17"/>
      <c r="AFA11" s="17"/>
      <c r="AFB11" s="17"/>
      <c r="AFC11" s="17"/>
      <c r="AFD11" s="17"/>
      <c r="AFE11" s="17"/>
      <c r="AFF11" s="17"/>
      <c r="AFG11" s="17"/>
      <c r="AFH11" s="17"/>
      <c r="AFI11" s="17"/>
      <c r="AFJ11" s="17"/>
      <c r="AFK11" s="17"/>
      <c r="AFL11" s="17"/>
      <c r="AFM11" s="17"/>
      <c r="AFN11" s="17"/>
      <c r="AFO11" s="17"/>
      <c r="AFP11" s="17"/>
      <c r="AFQ11" s="17"/>
      <c r="AFR11" s="17"/>
      <c r="AFS11" s="17"/>
      <c r="AFT11" s="17"/>
      <c r="AFU11" s="17"/>
      <c r="AFV11" s="17"/>
      <c r="AFW11" s="17"/>
      <c r="AFX11" s="17"/>
      <c r="AFY11" s="17"/>
      <c r="AFZ11" s="17"/>
      <c r="AGA11" s="17"/>
      <c r="AGB11" s="17"/>
      <c r="AGC11" s="17"/>
      <c r="AGD11" s="17"/>
      <c r="AGE11" s="17"/>
      <c r="AGF11" s="17"/>
      <c r="AGG11" s="17"/>
      <c r="AGH11" s="17"/>
      <c r="AGI11" s="17"/>
      <c r="AGJ11" s="17"/>
      <c r="AGK11" s="17"/>
      <c r="AGL11" s="17"/>
      <c r="AGM11" s="17"/>
      <c r="AGN11" s="17"/>
      <c r="AGO11" s="17"/>
      <c r="AGP11" s="17"/>
      <c r="AGQ11" s="17"/>
      <c r="AGR11" s="17"/>
      <c r="AGS11" s="17"/>
      <c r="AGT11" s="17"/>
      <c r="AGU11" s="17"/>
      <c r="AGV11" s="17"/>
      <c r="AGW11" s="17"/>
      <c r="AGX11" s="17"/>
      <c r="AGY11" s="17"/>
      <c r="AGZ11" s="17"/>
      <c r="AHA11" s="17"/>
      <c r="AHB11" s="17"/>
      <c r="AHC11" s="17"/>
      <c r="AHD11" s="17"/>
      <c r="AHE11" s="17"/>
      <c r="AHF11" s="17"/>
      <c r="AHG11" s="17"/>
      <c r="AHH11" s="17"/>
      <c r="AHI11" s="17"/>
      <c r="AHJ11" s="17"/>
      <c r="AHK11" s="17"/>
      <c r="AHL11" s="17"/>
      <c r="AHM11" s="17"/>
      <c r="AHN11" s="17"/>
      <c r="AHO11" s="17"/>
      <c r="AHP11" s="17"/>
      <c r="AHQ11" s="17"/>
      <c r="AHR11" s="17"/>
      <c r="AHS11" s="17"/>
      <c r="AHT11" s="17"/>
      <c r="AHU11" s="17"/>
      <c r="AHV11" s="17"/>
      <c r="AHW11" s="17"/>
      <c r="AHX11" s="17"/>
      <c r="AHY11" s="17"/>
      <c r="AHZ11" s="17"/>
      <c r="AIA11" s="17"/>
      <c r="AIB11" s="17"/>
      <c r="AIC11" s="17"/>
      <c r="AID11" s="17"/>
      <c r="AIE11" s="17"/>
      <c r="AIF11" s="17"/>
      <c r="AIG11" s="17"/>
      <c r="AIH11" s="17"/>
      <c r="AII11" s="17"/>
      <c r="AIJ11" s="17"/>
      <c r="AIK11" s="17"/>
      <c r="AIL11" s="17"/>
      <c r="AIM11" s="17"/>
      <c r="AIN11" s="17"/>
      <c r="AIO11" s="17"/>
      <c r="AIP11" s="17"/>
      <c r="AIQ11" s="17"/>
      <c r="AIR11" s="17"/>
      <c r="AIS11" s="17"/>
      <c r="AIT11" s="17"/>
      <c r="AIU11" s="17"/>
      <c r="AIV11" s="17"/>
      <c r="AIW11" s="17"/>
      <c r="AIX11" s="17"/>
      <c r="AIY11" s="17"/>
      <c r="AIZ11" s="17"/>
      <c r="AJA11" s="17"/>
      <c r="AJB11" s="17"/>
      <c r="AJC11" s="17"/>
      <c r="AJD11" s="17"/>
      <c r="AJE11" s="17"/>
      <c r="AJF11" s="17"/>
      <c r="AJG11" s="17"/>
      <c r="AJH11" s="17"/>
      <c r="AJI11" s="17"/>
      <c r="AJJ11" s="17"/>
      <c r="AJK11" s="17"/>
      <c r="AJL11" s="17"/>
      <c r="AJM11" s="17"/>
      <c r="AJN11" s="17"/>
      <c r="AJO11" s="17"/>
      <c r="AJP11" s="17"/>
      <c r="AJQ11" s="17"/>
      <c r="AJR11" s="17"/>
      <c r="AJS11" s="17"/>
      <c r="AJT11" s="17"/>
      <c r="AJU11" s="17"/>
      <c r="AJV11" s="17"/>
      <c r="AJW11" s="17"/>
      <c r="AJX11" s="17"/>
      <c r="AJY11" s="17"/>
      <c r="AJZ11" s="17"/>
      <c r="AKA11" s="17"/>
      <c r="AKB11" s="17"/>
      <c r="AKC11" s="17"/>
      <c r="AKD11" s="17"/>
      <c r="AKE11" s="17"/>
      <c r="AKF11" s="17"/>
      <c r="AKG11" s="17"/>
      <c r="AKH11" s="17"/>
      <c r="AKI11" s="17"/>
      <c r="AKJ11" s="17"/>
      <c r="AKK11" s="17"/>
      <c r="AKL11" s="17"/>
      <c r="AKM11" s="17"/>
      <c r="AKN11" s="17"/>
      <c r="AKO11" s="17"/>
      <c r="AKP11" s="17"/>
      <c r="AKQ11" s="17"/>
      <c r="AKR11" s="17"/>
      <c r="AKS11" s="17"/>
      <c r="AKT11" s="17"/>
      <c r="AKU11" s="17"/>
      <c r="AKV11" s="17"/>
      <c r="AKW11" s="17"/>
      <c r="AKX11" s="17"/>
      <c r="AKY11" s="17"/>
      <c r="AKZ11" s="17"/>
      <c r="ALA11" s="17"/>
      <c r="ALB11" s="17"/>
      <c r="ALC11" s="17"/>
      <c r="ALD11" s="17"/>
      <c r="ALE11" s="17"/>
      <c r="ALF11" s="17"/>
      <c r="ALG11" s="17"/>
      <c r="ALH11" s="17"/>
      <c r="ALI11" s="17"/>
      <c r="ALJ11" s="17"/>
      <c r="ALK11" s="17"/>
      <c r="ALL11" s="17"/>
      <c r="ALM11" s="17"/>
      <c r="ALN11" s="17"/>
      <c r="ALO11" s="17"/>
      <c r="ALP11" s="17"/>
      <c r="ALQ11" s="17"/>
      <c r="ALR11" s="17"/>
      <c r="ALS11" s="17"/>
      <c r="ALT11" s="17"/>
      <c r="ALU11" s="17"/>
      <c r="ALV11" s="17"/>
      <c r="ALW11" s="17"/>
      <c r="ALX11" s="17"/>
      <c r="ALY11" s="17"/>
      <c r="ALZ11" s="17"/>
      <c r="AMA11" s="17"/>
      <c r="AMB11" s="17"/>
      <c r="AMC11" s="17"/>
      <c r="AMD11" s="17"/>
      <c r="AME11" s="17"/>
      <c r="AMF11" s="17"/>
      <c r="AMG11" s="17"/>
      <c r="AMH11" s="17"/>
      <c r="AMI11" s="17"/>
    </row>
    <row r="12" spans="1:1023" s="18" customFormat="1" ht="11.25" x14ac:dyDescent="0.2">
      <c r="A12" s="15"/>
      <c r="B12" s="24"/>
      <c r="C12" s="25"/>
      <c r="D12" s="26"/>
      <c r="E12" s="27" t="s">
        <v>81</v>
      </c>
      <c r="F12" s="26">
        <v>2</v>
      </c>
      <c r="G12" s="28">
        <v>72.25</v>
      </c>
      <c r="H12" s="31">
        <f>Table1[[#This Row],[LENGTH (in.)]]*Table1[[#This Row],[QTY.]]</f>
        <v>144.5</v>
      </c>
      <c r="I12" s="16"/>
      <c r="J12" s="16"/>
      <c r="K12" s="16"/>
      <c r="L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17"/>
      <c r="GO12" s="17"/>
      <c r="GP12" s="17"/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17"/>
      <c r="KP12" s="17"/>
      <c r="KQ12" s="17"/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17"/>
      <c r="MT12" s="17"/>
      <c r="MU12" s="17"/>
      <c r="MV12" s="17"/>
      <c r="MW12" s="17"/>
      <c r="MX12" s="17"/>
      <c r="MY12" s="17"/>
      <c r="MZ12" s="17"/>
      <c r="NA12" s="17"/>
      <c r="NB12" s="17"/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17"/>
      <c r="OX12" s="17"/>
      <c r="OY12" s="17"/>
      <c r="OZ12" s="17"/>
      <c r="PA12" s="17"/>
      <c r="PB12" s="17"/>
      <c r="PC12" s="17"/>
      <c r="PD12" s="17"/>
      <c r="PE12" s="17"/>
      <c r="PF12" s="17"/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17"/>
      <c r="RA12" s="17"/>
      <c r="RB12" s="17"/>
      <c r="RC12" s="17"/>
      <c r="RD12" s="17"/>
      <c r="RE12" s="17"/>
      <c r="RF12" s="17"/>
      <c r="RG12" s="17"/>
      <c r="RH12" s="17"/>
      <c r="RI12" s="17"/>
      <c r="RJ12" s="17"/>
      <c r="RK12" s="17"/>
      <c r="RL12" s="17"/>
      <c r="RM12" s="17"/>
      <c r="RN12" s="17"/>
      <c r="RO12" s="17"/>
      <c r="RP12" s="17"/>
      <c r="RQ12" s="17"/>
      <c r="RR12" s="17"/>
      <c r="RS12" s="17"/>
      <c r="RT12" s="17"/>
      <c r="RU12" s="17"/>
      <c r="RV12" s="17"/>
      <c r="RW12" s="17"/>
      <c r="RX12" s="17"/>
      <c r="RY12" s="17"/>
      <c r="RZ12" s="17"/>
      <c r="SA12" s="17"/>
      <c r="SB12" s="17"/>
      <c r="SC12" s="17"/>
      <c r="SD12" s="17"/>
      <c r="SE12" s="17"/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17"/>
      <c r="TQ12" s="17"/>
      <c r="TR12" s="17"/>
      <c r="TS12" s="17"/>
      <c r="TT12" s="17"/>
      <c r="TU12" s="17"/>
      <c r="TV12" s="17"/>
      <c r="TW12" s="17"/>
      <c r="TX12" s="17"/>
      <c r="TY12" s="17"/>
      <c r="TZ12" s="17"/>
      <c r="UA12" s="17"/>
      <c r="UB12" s="17"/>
      <c r="UC12" s="17"/>
      <c r="UD12" s="17"/>
      <c r="UE12" s="17"/>
      <c r="UF12" s="17"/>
      <c r="UG12" s="17"/>
      <c r="UH12" s="17"/>
      <c r="UI12" s="17"/>
      <c r="UJ12" s="17"/>
      <c r="UK12" s="17"/>
      <c r="UL12" s="17"/>
      <c r="UM12" s="17"/>
      <c r="UN12" s="17"/>
      <c r="UO12" s="17"/>
      <c r="UP12" s="17"/>
      <c r="UQ12" s="17"/>
      <c r="UR12" s="17"/>
      <c r="US12" s="17"/>
      <c r="UT12" s="17"/>
      <c r="UU12" s="17"/>
      <c r="UV12" s="17"/>
      <c r="UW12" s="17"/>
      <c r="UX12" s="17"/>
      <c r="UY12" s="17"/>
      <c r="UZ12" s="17"/>
      <c r="VA12" s="17"/>
      <c r="VB12" s="17"/>
      <c r="VC12" s="17"/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17"/>
      <c r="WG12" s="17"/>
      <c r="WH12" s="17"/>
      <c r="WI12" s="17"/>
      <c r="WJ12" s="17"/>
      <c r="WK12" s="17"/>
      <c r="WL12" s="17"/>
      <c r="WM12" s="17"/>
      <c r="WN12" s="17"/>
      <c r="WO12" s="17"/>
      <c r="WP12" s="17"/>
      <c r="WQ12" s="17"/>
      <c r="WR12" s="17"/>
      <c r="WS12" s="17"/>
      <c r="WT12" s="17"/>
      <c r="WU12" s="17"/>
      <c r="WV12" s="17"/>
      <c r="WW12" s="17"/>
      <c r="WX12" s="17"/>
      <c r="WY12" s="17"/>
      <c r="WZ12" s="17"/>
      <c r="XA12" s="17"/>
      <c r="XB12" s="17"/>
      <c r="XC12" s="17"/>
      <c r="XD12" s="17"/>
      <c r="XE12" s="17"/>
      <c r="XF12" s="17"/>
      <c r="XG12" s="17"/>
      <c r="XH12" s="17"/>
      <c r="XI12" s="17"/>
      <c r="XJ12" s="17"/>
      <c r="XK12" s="17"/>
      <c r="XL12" s="17"/>
      <c r="XM12" s="17"/>
      <c r="XN12" s="17"/>
      <c r="XO12" s="17"/>
      <c r="XP12" s="17"/>
      <c r="XQ12" s="17"/>
      <c r="XR12" s="17"/>
      <c r="XS12" s="17"/>
      <c r="XT12" s="17"/>
      <c r="XU12" s="17"/>
      <c r="XV12" s="17"/>
      <c r="XW12" s="17"/>
      <c r="XX12" s="17"/>
      <c r="XY12" s="17"/>
      <c r="XZ12" s="17"/>
      <c r="YA12" s="17"/>
      <c r="YB12" s="17"/>
      <c r="YC12" s="17"/>
      <c r="YD12" s="17"/>
      <c r="YE12" s="17"/>
      <c r="YF12" s="17"/>
      <c r="YG12" s="17"/>
      <c r="YH12" s="17"/>
      <c r="YI12" s="17"/>
      <c r="YJ12" s="17"/>
      <c r="YK12" s="17"/>
      <c r="YL12" s="17"/>
      <c r="YM12" s="17"/>
      <c r="YN12" s="17"/>
      <c r="YO12" s="17"/>
      <c r="YP12" s="17"/>
      <c r="YQ12" s="17"/>
      <c r="YR12" s="17"/>
      <c r="YS12" s="17"/>
      <c r="YT12" s="17"/>
      <c r="YU12" s="17"/>
      <c r="YV12" s="17"/>
      <c r="YW12" s="17"/>
      <c r="YX12" s="17"/>
      <c r="YY12" s="17"/>
      <c r="YZ12" s="17"/>
      <c r="ZA12" s="17"/>
      <c r="ZB12" s="17"/>
      <c r="ZC12" s="17"/>
      <c r="ZD12" s="17"/>
      <c r="ZE12" s="17"/>
      <c r="ZF12" s="17"/>
      <c r="ZG12" s="17"/>
      <c r="ZH12" s="17"/>
      <c r="ZI12" s="17"/>
      <c r="ZJ12" s="17"/>
      <c r="ZK12" s="17"/>
      <c r="ZL12" s="17"/>
      <c r="ZM12" s="17"/>
      <c r="ZN12" s="17"/>
      <c r="ZO12" s="17"/>
      <c r="ZP12" s="17"/>
      <c r="ZQ12" s="17"/>
      <c r="ZR12" s="17"/>
      <c r="ZS12" s="17"/>
      <c r="ZT12" s="17"/>
      <c r="ZU12" s="17"/>
      <c r="ZV12" s="17"/>
      <c r="ZW12" s="17"/>
      <c r="ZX12" s="17"/>
      <c r="ZY12" s="17"/>
      <c r="ZZ12" s="17"/>
      <c r="AAA12" s="17"/>
      <c r="AAB12" s="17"/>
      <c r="AAC12" s="17"/>
      <c r="AAD12" s="17"/>
      <c r="AAE12" s="17"/>
      <c r="AAF12" s="17"/>
      <c r="AAG12" s="17"/>
      <c r="AAH12" s="17"/>
      <c r="AAI12" s="17"/>
      <c r="AAJ12" s="17"/>
      <c r="AAK12" s="17"/>
      <c r="AAL12" s="17"/>
      <c r="AAM12" s="17"/>
      <c r="AAN12" s="17"/>
      <c r="AAO12" s="17"/>
      <c r="AAP12" s="17"/>
      <c r="AAQ12" s="17"/>
      <c r="AAR12" s="17"/>
      <c r="AAS12" s="17"/>
      <c r="AAT12" s="17"/>
      <c r="AAU12" s="17"/>
      <c r="AAV12" s="17"/>
      <c r="AAW12" s="17"/>
      <c r="AAX12" s="17"/>
      <c r="AAY12" s="17"/>
      <c r="AAZ12" s="17"/>
      <c r="ABA12" s="17"/>
      <c r="ABB12" s="17"/>
      <c r="ABC12" s="17"/>
      <c r="ABD12" s="17"/>
      <c r="ABE12" s="17"/>
      <c r="ABF12" s="17"/>
      <c r="ABG12" s="17"/>
      <c r="ABH12" s="17"/>
      <c r="ABI12" s="17"/>
      <c r="ABJ12" s="17"/>
      <c r="ABK12" s="17"/>
      <c r="ABL12" s="17"/>
      <c r="ABM12" s="17"/>
      <c r="ABN12" s="17"/>
      <c r="ABO12" s="17"/>
      <c r="ABP12" s="17"/>
      <c r="ABQ12" s="17"/>
      <c r="ABR12" s="17"/>
      <c r="ABS12" s="17"/>
      <c r="ABT12" s="17"/>
      <c r="ABU12" s="17"/>
      <c r="ABV12" s="17"/>
      <c r="ABW12" s="17"/>
      <c r="ABX12" s="17"/>
      <c r="ABY12" s="17"/>
      <c r="ABZ12" s="17"/>
      <c r="ACA12" s="17"/>
      <c r="ACB12" s="17"/>
      <c r="ACC12" s="17"/>
      <c r="ACD12" s="17"/>
      <c r="ACE12" s="17"/>
      <c r="ACF12" s="17"/>
      <c r="ACG12" s="17"/>
      <c r="ACH12" s="17"/>
      <c r="ACI12" s="17"/>
      <c r="ACJ12" s="17"/>
      <c r="ACK12" s="17"/>
      <c r="ACL12" s="17"/>
      <c r="ACM12" s="17"/>
      <c r="ACN12" s="17"/>
      <c r="ACO12" s="17"/>
      <c r="ACP12" s="17"/>
      <c r="ACQ12" s="17"/>
      <c r="ACR12" s="17"/>
      <c r="ACS12" s="17"/>
      <c r="ACT12" s="17"/>
      <c r="ACU12" s="17"/>
      <c r="ACV12" s="17"/>
      <c r="ACW12" s="17"/>
      <c r="ACX12" s="17"/>
      <c r="ACY12" s="17"/>
      <c r="ACZ12" s="17"/>
      <c r="ADA12" s="17"/>
      <c r="ADB12" s="17"/>
      <c r="ADC12" s="17"/>
      <c r="ADD12" s="17"/>
      <c r="ADE12" s="17"/>
      <c r="ADF12" s="17"/>
      <c r="ADG12" s="17"/>
      <c r="ADH12" s="17"/>
      <c r="ADI12" s="17"/>
      <c r="ADJ12" s="17"/>
      <c r="ADK12" s="17"/>
      <c r="ADL12" s="17"/>
      <c r="ADM12" s="17"/>
      <c r="ADN12" s="17"/>
      <c r="ADO12" s="17"/>
      <c r="ADP12" s="17"/>
      <c r="ADQ12" s="17"/>
      <c r="ADR12" s="17"/>
      <c r="ADS12" s="17"/>
      <c r="ADT12" s="17"/>
      <c r="ADU12" s="17"/>
      <c r="ADV12" s="17"/>
      <c r="ADW12" s="17"/>
      <c r="ADX12" s="17"/>
      <c r="ADY12" s="17"/>
      <c r="ADZ12" s="17"/>
      <c r="AEA12" s="17"/>
      <c r="AEB12" s="17"/>
      <c r="AEC12" s="17"/>
      <c r="AED12" s="17"/>
      <c r="AEE12" s="17"/>
      <c r="AEF12" s="17"/>
      <c r="AEG12" s="17"/>
      <c r="AEH12" s="17"/>
      <c r="AEI12" s="17"/>
      <c r="AEJ12" s="17"/>
      <c r="AEK12" s="17"/>
      <c r="AEL12" s="17"/>
      <c r="AEM12" s="17"/>
      <c r="AEN12" s="17"/>
      <c r="AEO12" s="17"/>
      <c r="AEP12" s="17"/>
      <c r="AEQ12" s="17"/>
      <c r="AER12" s="17"/>
      <c r="AES12" s="17"/>
      <c r="AET12" s="17"/>
      <c r="AEU12" s="17"/>
      <c r="AEV12" s="17"/>
      <c r="AEW12" s="17"/>
      <c r="AEX12" s="17"/>
      <c r="AEY12" s="17"/>
      <c r="AEZ12" s="17"/>
      <c r="AFA12" s="17"/>
      <c r="AFB12" s="17"/>
      <c r="AFC12" s="17"/>
      <c r="AFD12" s="17"/>
      <c r="AFE12" s="17"/>
      <c r="AFF12" s="17"/>
      <c r="AFG12" s="17"/>
      <c r="AFH12" s="17"/>
      <c r="AFI12" s="17"/>
      <c r="AFJ12" s="17"/>
      <c r="AFK12" s="17"/>
      <c r="AFL12" s="17"/>
      <c r="AFM12" s="17"/>
      <c r="AFN12" s="17"/>
      <c r="AFO12" s="17"/>
      <c r="AFP12" s="17"/>
      <c r="AFQ12" s="17"/>
      <c r="AFR12" s="17"/>
      <c r="AFS12" s="17"/>
      <c r="AFT12" s="17"/>
      <c r="AFU12" s="17"/>
      <c r="AFV12" s="17"/>
      <c r="AFW12" s="17"/>
      <c r="AFX12" s="17"/>
      <c r="AFY12" s="17"/>
      <c r="AFZ12" s="17"/>
      <c r="AGA12" s="17"/>
      <c r="AGB12" s="17"/>
      <c r="AGC12" s="17"/>
      <c r="AGD12" s="17"/>
      <c r="AGE12" s="17"/>
      <c r="AGF12" s="17"/>
      <c r="AGG12" s="17"/>
      <c r="AGH12" s="17"/>
      <c r="AGI12" s="17"/>
      <c r="AGJ12" s="17"/>
      <c r="AGK12" s="17"/>
      <c r="AGL12" s="17"/>
      <c r="AGM12" s="17"/>
      <c r="AGN12" s="17"/>
      <c r="AGO12" s="17"/>
      <c r="AGP12" s="17"/>
      <c r="AGQ12" s="17"/>
      <c r="AGR12" s="17"/>
      <c r="AGS12" s="17"/>
      <c r="AGT12" s="17"/>
      <c r="AGU12" s="17"/>
      <c r="AGV12" s="17"/>
      <c r="AGW12" s="17"/>
      <c r="AGX12" s="17"/>
      <c r="AGY12" s="17"/>
      <c r="AGZ12" s="17"/>
      <c r="AHA12" s="17"/>
      <c r="AHB12" s="17"/>
      <c r="AHC12" s="17"/>
      <c r="AHD12" s="17"/>
      <c r="AHE12" s="17"/>
      <c r="AHF12" s="17"/>
      <c r="AHG12" s="17"/>
      <c r="AHH12" s="17"/>
      <c r="AHI12" s="17"/>
      <c r="AHJ12" s="17"/>
      <c r="AHK12" s="17"/>
      <c r="AHL12" s="17"/>
      <c r="AHM12" s="17"/>
      <c r="AHN12" s="17"/>
      <c r="AHO12" s="17"/>
      <c r="AHP12" s="17"/>
      <c r="AHQ12" s="17"/>
      <c r="AHR12" s="17"/>
      <c r="AHS12" s="17"/>
      <c r="AHT12" s="17"/>
      <c r="AHU12" s="17"/>
      <c r="AHV12" s="17"/>
      <c r="AHW12" s="17"/>
      <c r="AHX12" s="17"/>
      <c r="AHY12" s="17"/>
      <c r="AHZ12" s="17"/>
      <c r="AIA12" s="17"/>
      <c r="AIB12" s="17"/>
      <c r="AIC12" s="17"/>
      <c r="AID12" s="17"/>
      <c r="AIE12" s="17"/>
      <c r="AIF12" s="17"/>
      <c r="AIG12" s="17"/>
      <c r="AIH12" s="17"/>
      <c r="AII12" s="17"/>
      <c r="AIJ12" s="17"/>
      <c r="AIK12" s="17"/>
      <c r="AIL12" s="17"/>
      <c r="AIM12" s="17"/>
      <c r="AIN12" s="17"/>
      <c r="AIO12" s="17"/>
      <c r="AIP12" s="17"/>
      <c r="AIQ12" s="17"/>
      <c r="AIR12" s="17"/>
      <c r="AIS12" s="17"/>
      <c r="AIT12" s="17"/>
      <c r="AIU12" s="17"/>
      <c r="AIV12" s="17"/>
      <c r="AIW12" s="17"/>
      <c r="AIX12" s="17"/>
      <c r="AIY12" s="17"/>
      <c r="AIZ12" s="17"/>
      <c r="AJA12" s="17"/>
      <c r="AJB12" s="17"/>
      <c r="AJC12" s="17"/>
      <c r="AJD12" s="17"/>
      <c r="AJE12" s="17"/>
      <c r="AJF12" s="17"/>
      <c r="AJG12" s="17"/>
      <c r="AJH12" s="17"/>
      <c r="AJI12" s="17"/>
      <c r="AJJ12" s="17"/>
      <c r="AJK12" s="17"/>
      <c r="AJL12" s="17"/>
      <c r="AJM12" s="17"/>
      <c r="AJN12" s="17"/>
      <c r="AJO12" s="17"/>
      <c r="AJP12" s="17"/>
      <c r="AJQ12" s="17"/>
      <c r="AJR12" s="17"/>
      <c r="AJS12" s="17"/>
      <c r="AJT12" s="17"/>
      <c r="AJU12" s="17"/>
      <c r="AJV12" s="17"/>
      <c r="AJW12" s="17"/>
      <c r="AJX12" s="17"/>
      <c r="AJY12" s="17"/>
      <c r="AJZ12" s="17"/>
      <c r="AKA12" s="17"/>
      <c r="AKB12" s="17"/>
      <c r="AKC12" s="17"/>
      <c r="AKD12" s="17"/>
      <c r="AKE12" s="17"/>
      <c r="AKF12" s="17"/>
      <c r="AKG12" s="17"/>
      <c r="AKH12" s="17"/>
      <c r="AKI12" s="17"/>
      <c r="AKJ12" s="17"/>
      <c r="AKK12" s="17"/>
      <c r="AKL12" s="17"/>
      <c r="AKM12" s="17"/>
      <c r="AKN12" s="17"/>
      <c r="AKO12" s="17"/>
      <c r="AKP12" s="17"/>
      <c r="AKQ12" s="17"/>
      <c r="AKR12" s="17"/>
      <c r="AKS12" s="17"/>
      <c r="AKT12" s="17"/>
      <c r="AKU12" s="17"/>
      <c r="AKV12" s="17"/>
      <c r="AKW12" s="17"/>
      <c r="AKX12" s="17"/>
      <c r="AKY12" s="17"/>
      <c r="AKZ12" s="17"/>
      <c r="ALA12" s="17"/>
      <c r="ALB12" s="17"/>
      <c r="ALC12" s="17"/>
      <c r="ALD12" s="17"/>
      <c r="ALE12" s="17"/>
      <c r="ALF12" s="17"/>
      <c r="ALG12" s="17"/>
      <c r="ALH12" s="17"/>
      <c r="ALI12" s="17"/>
      <c r="ALJ12" s="17"/>
      <c r="ALK12" s="17"/>
      <c r="ALL12" s="17"/>
      <c r="ALM12" s="17"/>
      <c r="ALN12" s="17"/>
      <c r="ALO12" s="17"/>
      <c r="ALP12" s="17"/>
      <c r="ALQ12" s="17"/>
      <c r="ALR12" s="17"/>
      <c r="ALS12" s="17"/>
      <c r="ALT12" s="17"/>
      <c r="ALU12" s="17"/>
      <c r="ALV12" s="17"/>
      <c r="ALW12" s="17"/>
      <c r="ALX12" s="17"/>
      <c r="ALY12" s="17"/>
      <c r="ALZ12" s="17"/>
      <c r="AMA12" s="17"/>
      <c r="AMB12" s="17"/>
      <c r="AMC12" s="17"/>
      <c r="AMD12" s="17"/>
      <c r="AME12" s="17"/>
      <c r="AMF12" s="17"/>
      <c r="AMG12" s="17"/>
      <c r="AMH12" s="17"/>
      <c r="AMI12" s="17"/>
    </row>
    <row r="13" spans="1:1023" s="18" customFormat="1" ht="11.25" x14ac:dyDescent="0.2">
      <c r="A13" s="15"/>
      <c r="B13" s="24">
        <v>1370335</v>
      </c>
      <c r="C13" s="25"/>
      <c r="D13" s="26"/>
      <c r="E13" s="27" t="s">
        <v>81</v>
      </c>
      <c r="F13" s="26">
        <v>1</v>
      </c>
      <c r="G13" s="28">
        <v>65.75</v>
      </c>
      <c r="H13" s="31">
        <f>Table1[[#This Row],[LENGTH (in.)]]*Table1[[#This Row],[QTY.]]</f>
        <v>65.75</v>
      </c>
      <c r="I13" s="16"/>
      <c r="J13" s="16"/>
      <c r="K13" s="16"/>
      <c r="L13" s="20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  <c r="ADG13" s="17"/>
      <c r="ADH13" s="17"/>
      <c r="ADI13" s="17"/>
      <c r="ADJ13" s="17"/>
      <c r="ADK13" s="17"/>
      <c r="ADL13" s="17"/>
      <c r="ADM13" s="17"/>
      <c r="ADN13" s="17"/>
      <c r="ADO13" s="17"/>
      <c r="ADP13" s="17"/>
      <c r="ADQ13" s="17"/>
      <c r="ADR13" s="17"/>
      <c r="ADS13" s="17"/>
      <c r="ADT13" s="17"/>
      <c r="ADU13" s="17"/>
      <c r="ADV13" s="17"/>
      <c r="ADW13" s="17"/>
      <c r="ADX13" s="17"/>
      <c r="ADY13" s="17"/>
      <c r="ADZ13" s="17"/>
      <c r="AEA13" s="17"/>
      <c r="AEB13" s="17"/>
      <c r="AEC13" s="17"/>
      <c r="AED13" s="17"/>
      <c r="AEE13" s="17"/>
      <c r="AEF13" s="17"/>
      <c r="AEG13" s="17"/>
      <c r="AEH13" s="17"/>
      <c r="AEI13" s="17"/>
      <c r="AEJ13" s="17"/>
      <c r="AEK13" s="17"/>
      <c r="AEL13" s="17"/>
      <c r="AEM13" s="17"/>
      <c r="AEN13" s="17"/>
      <c r="AEO13" s="17"/>
      <c r="AEP13" s="17"/>
      <c r="AEQ13" s="17"/>
      <c r="AER13" s="17"/>
      <c r="AES13" s="17"/>
      <c r="AET13" s="17"/>
      <c r="AEU13" s="17"/>
      <c r="AEV13" s="17"/>
      <c r="AEW13" s="17"/>
      <c r="AEX13" s="17"/>
      <c r="AEY13" s="17"/>
      <c r="AEZ13" s="17"/>
      <c r="AFA13" s="17"/>
      <c r="AFB13" s="17"/>
      <c r="AFC13" s="17"/>
      <c r="AFD13" s="17"/>
      <c r="AFE13" s="17"/>
      <c r="AFF13" s="17"/>
      <c r="AFG13" s="17"/>
      <c r="AFH13" s="17"/>
      <c r="AFI13" s="17"/>
      <c r="AFJ13" s="17"/>
      <c r="AFK13" s="17"/>
      <c r="AFL13" s="17"/>
      <c r="AFM13" s="17"/>
      <c r="AFN13" s="17"/>
      <c r="AFO13" s="17"/>
      <c r="AFP13" s="17"/>
      <c r="AFQ13" s="17"/>
      <c r="AFR13" s="17"/>
      <c r="AFS13" s="17"/>
      <c r="AFT13" s="17"/>
      <c r="AFU13" s="17"/>
      <c r="AFV13" s="17"/>
      <c r="AFW13" s="17"/>
      <c r="AFX13" s="17"/>
      <c r="AFY13" s="17"/>
      <c r="AFZ13" s="17"/>
      <c r="AGA13" s="17"/>
      <c r="AGB13" s="17"/>
      <c r="AGC13" s="17"/>
      <c r="AGD13" s="17"/>
      <c r="AGE13" s="17"/>
      <c r="AGF13" s="17"/>
      <c r="AGG13" s="17"/>
      <c r="AGH13" s="17"/>
      <c r="AGI13" s="17"/>
      <c r="AGJ13" s="17"/>
      <c r="AGK13" s="17"/>
      <c r="AGL13" s="17"/>
      <c r="AGM13" s="17"/>
      <c r="AGN13" s="17"/>
      <c r="AGO13" s="17"/>
      <c r="AGP13" s="17"/>
      <c r="AGQ13" s="17"/>
      <c r="AGR13" s="17"/>
      <c r="AGS13" s="17"/>
      <c r="AGT13" s="17"/>
      <c r="AGU13" s="17"/>
      <c r="AGV13" s="17"/>
      <c r="AGW13" s="17"/>
      <c r="AGX13" s="17"/>
      <c r="AGY13" s="17"/>
      <c r="AGZ13" s="17"/>
      <c r="AHA13" s="17"/>
      <c r="AHB13" s="17"/>
      <c r="AHC13" s="17"/>
      <c r="AHD13" s="17"/>
      <c r="AHE13" s="17"/>
      <c r="AHF13" s="17"/>
      <c r="AHG13" s="17"/>
      <c r="AHH13" s="17"/>
      <c r="AHI13" s="17"/>
      <c r="AHJ13" s="17"/>
      <c r="AHK13" s="17"/>
      <c r="AHL13" s="17"/>
      <c r="AHM13" s="17"/>
      <c r="AHN13" s="17"/>
      <c r="AHO13" s="17"/>
      <c r="AHP13" s="17"/>
      <c r="AHQ13" s="17"/>
      <c r="AHR13" s="17"/>
      <c r="AHS13" s="17"/>
      <c r="AHT13" s="17"/>
      <c r="AHU13" s="17"/>
      <c r="AHV13" s="17"/>
      <c r="AHW13" s="17"/>
      <c r="AHX13" s="17"/>
      <c r="AHY13" s="17"/>
      <c r="AHZ13" s="17"/>
      <c r="AIA13" s="17"/>
      <c r="AIB13" s="17"/>
      <c r="AIC13" s="17"/>
      <c r="AID13" s="17"/>
      <c r="AIE13" s="17"/>
      <c r="AIF13" s="17"/>
      <c r="AIG13" s="17"/>
      <c r="AIH13" s="17"/>
      <c r="AII13" s="17"/>
      <c r="AIJ13" s="17"/>
      <c r="AIK13" s="17"/>
      <c r="AIL13" s="17"/>
      <c r="AIM13" s="17"/>
      <c r="AIN13" s="17"/>
      <c r="AIO13" s="17"/>
      <c r="AIP13" s="17"/>
      <c r="AIQ13" s="17"/>
      <c r="AIR13" s="17"/>
      <c r="AIS13" s="17"/>
      <c r="AIT13" s="17"/>
      <c r="AIU13" s="17"/>
      <c r="AIV13" s="17"/>
      <c r="AIW13" s="17"/>
      <c r="AIX13" s="17"/>
      <c r="AIY13" s="17"/>
      <c r="AIZ13" s="17"/>
      <c r="AJA13" s="17"/>
      <c r="AJB13" s="17"/>
      <c r="AJC13" s="17"/>
      <c r="AJD13" s="17"/>
      <c r="AJE13" s="17"/>
      <c r="AJF13" s="17"/>
      <c r="AJG13" s="17"/>
      <c r="AJH13" s="17"/>
      <c r="AJI13" s="17"/>
      <c r="AJJ13" s="17"/>
      <c r="AJK13" s="17"/>
      <c r="AJL13" s="17"/>
      <c r="AJM13" s="17"/>
      <c r="AJN13" s="17"/>
      <c r="AJO13" s="17"/>
      <c r="AJP13" s="17"/>
      <c r="AJQ13" s="17"/>
      <c r="AJR13" s="17"/>
      <c r="AJS13" s="17"/>
      <c r="AJT13" s="17"/>
      <c r="AJU13" s="17"/>
      <c r="AJV13" s="17"/>
      <c r="AJW13" s="17"/>
      <c r="AJX13" s="17"/>
      <c r="AJY13" s="17"/>
      <c r="AJZ13" s="17"/>
      <c r="AKA13" s="17"/>
      <c r="AKB13" s="17"/>
      <c r="AKC13" s="17"/>
      <c r="AKD13" s="17"/>
      <c r="AKE13" s="17"/>
      <c r="AKF13" s="17"/>
      <c r="AKG13" s="17"/>
      <c r="AKH13" s="17"/>
      <c r="AKI13" s="17"/>
      <c r="AKJ13" s="17"/>
      <c r="AKK13" s="17"/>
      <c r="AKL13" s="17"/>
      <c r="AKM13" s="17"/>
      <c r="AKN13" s="17"/>
      <c r="AKO13" s="17"/>
      <c r="AKP13" s="17"/>
      <c r="AKQ13" s="17"/>
      <c r="AKR13" s="17"/>
      <c r="AKS13" s="17"/>
      <c r="AKT13" s="17"/>
      <c r="AKU13" s="17"/>
      <c r="AKV13" s="17"/>
      <c r="AKW13" s="17"/>
      <c r="AKX13" s="17"/>
      <c r="AKY13" s="17"/>
      <c r="AKZ13" s="17"/>
      <c r="ALA13" s="17"/>
      <c r="ALB13" s="17"/>
      <c r="ALC13" s="17"/>
      <c r="ALD13" s="17"/>
      <c r="ALE13" s="17"/>
      <c r="ALF13" s="17"/>
      <c r="ALG13" s="17"/>
      <c r="ALH13" s="17"/>
      <c r="ALI13" s="17"/>
      <c r="ALJ13" s="17"/>
      <c r="ALK13" s="17"/>
      <c r="ALL13" s="17"/>
      <c r="ALM13" s="17"/>
      <c r="ALN13" s="17"/>
      <c r="ALO13" s="17"/>
      <c r="ALP13" s="17"/>
      <c r="ALQ13" s="17"/>
      <c r="ALR13" s="17"/>
      <c r="ALS13" s="17"/>
      <c r="ALT13" s="17"/>
      <c r="ALU13" s="17"/>
      <c r="ALV13" s="17"/>
      <c r="ALW13" s="17"/>
      <c r="ALX13" s="17"/>
      <c r="ALY13" s="17"/>
      <c r="ALZ13" s="17"/>
      <c r="AMA13" s="17"/>
      <c r="AMB13" s="17"/>
      <c r="AMC13" s="17"/>
      <c r="AMD13" s="17"/>
      <c r="AME13" s="17"/>
      <c r="AMF13" s="17"/>
      <c r="AMG13" s="17"/>
      <c r="AMH13" s="17"/>
      <c r="AMI13" s="17"/>
    </row>
    <row r="14" spans="1:1023" s="18" customFormat="1" ht="11.25" x14ac:dyDescent="0.2">
      <c r="A14" s="15"/>
      <c r="B14" s="16"/>
      <c r="C14" s="16"/>
      <c r="D14" s="32"/>
      <c r="E14" s="33" t="s">
        <v>81</v>
      </c>
      <c r="F14" s="34">
        <v>1</v>
      </c>
      <c r="G14" s="35">
        <v>61</v>
      </c>
      <c r="H14" s="31">
        <f>Table1[[#This Row],[LENGTH (in.)]]*Table1[[#This Row],[QTY.]]</f>
        <v>61</v>
      </c>
      <c r="I14" s="17"/>
      <c r="J14" s="17"/>
      <c r="K14" s="17"/>
      <c r="L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</row>
    <row r="15" spans="1:1023" s="18" customFormat="1" ht="11.25" x14ac:dyDescent="0.2">
      <c r="A15" s="15"/>
      <c r="B15" s="16"/>
      <c r="C15" s="16"/>
      <c r="D15" s="32"/>
      <c r="E15" s="33" t="s">
        <v>82</v>
      </c>
      <c r="F15" s="34">
        <v>11</v>
      </c>
      <c r="G15" s="35">
        <v>203</v>
      </c>
      <c r="H15" s="31">
        <f>Table1[[#This Row],[LENGTH (in.)]]*Table1[[#This Row],[QTY.]]</f>
        <v>2233</v>
      </c>
      <c r="I15" s="17"/>
      <c r="J15" s="17"/>
      <c r="K15" s="17"/>
      <c r="L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</row>
    <row r="16" spans="1:1023" s="18" customFormat="1" ht="11.25" x14ac:dyDescent="0.2">
      <c r="A16" s="15"/>
      <c r="B16" s="16"/>
      <c r="C16" s="16"/>
      <c r="D16" s="32"/>
      <c r="E16" s="33" t="s">
        <v>82</v>
      </c>
      <c r="F16" s="34">
        <v>2</v>
      </c>
      <c r="G16" s="35">
        <v>129.75</v>
      </c>
      <c r="H16" s="31">
        <f>Table1[[#This Row],[LENGTH (in.)]]*Table1[[#This Row],[QTY.]]</f>
        <v>259.5</v>
      </c>
      <c r="I16" s="17"/>
      <c r="J16" s="17"/>
      <c r="K16" s="17"/>
      <c r="L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</row>
    <row r="17" spans="1:1023" s="18" customFormat="1" ht="11.25" x14ac:dyDescent="0.2">
      <c r="A17" s="15"/>
      <c r="B17" s="16"/>
      <c r="C17" s="16"/>
      <c r="D17" s="32"/>
      <c r="E17" s="33" t="s">
        <v>82</v>
      </c>
      <c r="F17" s="34">
        <v>1</v>
      </c>
      <c r="G17" s="35">
        <v>79.5</v>
      </c>
      <c r="H17" s="31">
        <f>Table1[[#This Row],[LENGTH (in.)]]*Table1[[#This Row],[QTY.]]</f>
        <v>79.5</v>
      </c>
      <c r="I17" s="17"/>
      <c r="J17" s="17"/>
      <c r="K17" s="17"/>
      <c r="L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</row>
    <row r="18" spans="1:1023" s="18" customFormat="1" ht="11.25" x14ac:dyDescent="0.2">
      <c r="A18" s="15"/>
      <c r="B18" s="16" t="s">
        <v>111</v>
      </c>
      <c r="C18" s="16"/>
      <c r="D18" s="32"/>
      <c r="E18" s="33" t="s">
        <v>82</v>
      </c>
      <c r="F18" s="34">
        <v>4</v>
      </c>
      <c r="G18" s="35">
        <v>72.25</v>
      </c>
      <c r="H18" s="31">
        <f>Table1[[#This Row],[LENGTH (in.)]]*Table1[[#This Row],[QTY.]]</f>
        <v>289</v>
      </c>
      <c r="I18" s="17"/>
      <c r="J18" s="17"/>
      <c r="K18" s="17"/>
      <c r="L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</row>
    <row r="19" spans="1:1023" s="18" customFormat="1" ht="11.25" x14ac:dyDescent="0.2">
      <c r="A19" s="15"/>
      <c r="B19" s="16" t="s">
        <v>111</v>
      </c>
      <c r="C19" s="16"/>
      <c r="D19" s="32"/>
      <c r="E19" s="33" t="s">
        <v>82</v>
      </c>
      <c r="F19" s="34">
        <v>2</v>
      </c>
      <c r="G19" s="35">
        <v>61</v>
      </c>
      <c r="H19" s="31">
        <f>Table1[[#This Row],[LENGTH (in.)]]*Table1[[#This Row],[QTY.]]</f>
        <v>122</v>
      </c>
      <c r="I19" s="17"/>
      <c r="J19" s="17"/>
      <c r="K19" s="17"/>
      <c r="L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</row>
    <row r="20" spans="1:1023" s="18" customFormat="1" ht="11.25" x14ac:dyDescent="0.2">
      <c r="A20" s="15"/>
      <c r="B20" s="16" t="s">
        <v>111</v>
      </c>
      <c r="C20" s="16"/>
      <c r="D20" s="32"/>
      <c r="E20" s="33" t="s">
        <v>82</v>
      </c>
      <c r="F20" s="34">
        <v>2</v>
      </c>
      <c r="G20" s="35">
        <v>54</v>
      </c>
      <c r="H20" s="31">
        <f>Table1[[#This Row],[LENGTH (in.)]]*Table1[[#This Row],[QTY.]]</f>
        <v>108</v>
      </c>
      <c r="I20" s="17"/>
      <c r="J20" s="17"/>
      <c r="K20" s="17"/>
      <c r="L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</row>
    <row r="21" spans="1:1023" s="18" customFormat="1" ht="11.25" x14ac:dyDescent="0.2">
      <c r="A21" s="15">
        <v>19</v>
      </c>
      <c r="B21" s="16"/>
      <c r="C21" s="16"/>
      <c r="D21" s="32"/>
      <c r="E21" s="33" t="s">
        <v>82</v>
      </c>
      <c r="F21" s="34">
        <v>2</v>
      </c>
      <c r="G21" s="35">
        <v>52</v>
      </c>
      <c r="H21" s="31">
        <f>Table1[[#This Row],[LENGTH (in.)]]*Table1[[#This Row],[QTY.]]</f>
        <v>104</v>
      </c>
      <c r="I21" s="17"/>
      <c r="J21" s="17"/>
      <c r="K21" s="17"/>
      <c r="L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</row>
    <row r="22" spans="1:1023" s="18" customFormat="1" ht="11.25" x14ac:dyDescent="0.2">
      <c r="A22" s="15">
        <v>20</v>
      </c>
      <c r="B22" s="16"/>
      <c r="C22" s="16"/>
      <c r="D22" s="32"/>
      <c r="E22" s="33" t="s">
        <v>121</v>
      </c>
      <c r="F22" s="34">
        <v>1</v>
      </c>
      <c r="G22" s="35">
        <v>203</v>
      </c>
      <c r="H22" s="31">
        <f>Table1[[#This Row],[LENGTH (in.)]]*Table1[[#This Row],[QTY.]]</f>
        <v>203</v>
      </c>
      <c r="I22" s="17"/>
      <c r="J22" s="17"/>
      <c r="K22" s="17"/>
      <c r="L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</row>
    <row r="23" spans="1:1023" s="18" customFormat="1" ht="11.25" x14ac:dyDescent="0.2">
      <c r="A23" s="15">
        <v>18</v>
      </c>
      <c r="B23" s="16">
        <v>1371218</v>
      </c>
      <c r="C23" s="16"/>
      <c r="D23" s="32"/>
      <c r="E23" s="33" t="s">
        <v>67</v>
      </c>
      <c r="F23" s="34">
        <v>1</v>
      </c>
      <c r="G23" s="35">
        <v>701.5</v>
      </c>
      <c r="H23" s="31">
        <f>Table1[[#This Row],[LENGTH (in.)]]*Table1[[#This Row],[QTY.]]</f>
        <v>701.5</v>
      </c>
      <c r="I23" s="17"/>
      <c r="J23" s="17"/>
      <c r="K23" s="17"/>
      <c r="L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</row>
    <row r="24" spans="1:1023" s="18" customFormat="1" ht="11.25" x14ac:dyDescent="0.2">
      <c r="A24" s="15"/>
      <c r="B24" s="16"/>
      <c r="C24" s="16"/>
      <c r="D24" s="32"/>
      <c r="E24" s="33" t="s">
        <v>94</v>
      </c>
      <c r="F24" s="34">
        <v>2</v>
      </c>
      <c r="G24" s="35">
        <v>27.5</v>
      </c>
      <c r="H24" s="31">
        <f>Table1[[#This Row],[LENGTH (in.)]]*Table1[[#This Row],[QTY.]]</f>
        <v>55</v>
      </c>
      <c r="I24" s="17"/>
      <c r="J24" s="17"/>
      <c r="K24" s="17"/>
      <c r="L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</row>
    <row r="25" spans="1:1023" s="18" customFormat="1" ht="11.25" x14ac:dyDescent="0.2">
      <c r="A25" s="15"/>
      <c r="B25" s="16">
        <v>1371220</v>
      </c>
      <c r="C25" s="16"/>
      <c r="D25" s="32"/>
      <c r="E25" s="33" t="s">
        <v>94</v>
      </c>
      <c r="F25" s="34">
        <v>2</v>
      </c>
      <c r="G25" s="35">
        <v>22.375</v>
      </c>
      <c r="H25" s="31">
        <f>Table1[[#This Row],[LENGTH (in.)]]*Table1[[#This Row],[QTY.]]</f>
        <v>44.75</v>
      </c>
      <c r="I25" s="17"/>
      <c r="J25" s="17"/>
      <c r="K25" s="17"/>
      <c r="L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</row>
    <row r="26" spans="1:1023" s="18" customFormat="1" ht="11.25" x14ac:dyDescent="0.2">
      <c r="A26" s="15"/>
      <c r="B26" s="16"/>
      <c r="C26" s="16"/>
      <c r="D26" s="32"/>
      <c r="E26" s="33" t="s">
        <v>94</v>
      </c>
      <c r="F26" s="34">
        <v>9</v>
      </c>
      <c r="G26" s="35">
        <v>8</v>
      </c>
      <c r="H26" s="31">
        <f>Table1[[#This Row],[LENGTH (in.)]]*Table1[[#This Row],[QTY.]]</f>
        <v>72</v>
      </c>
      <c r="I26" s="17"/>
      <c r="J26" s="17"/>
      <c r="K26" s="17"/>
      <c r="L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</row>
    <row r="27" spans="1:1023" x14ac:dyDescent="0.25">
      <c r="A27" s="16">
        <v>13</v>
      </c>
      <c r="B27" s="16">
        <v>1370303</v>
      </c>
      <c r="C27" s="16"/>
      <c r="D27" s="32"/>
      <c r="E27" s="36" t="s">
        <v>122</v>
      </c>
      <c r="F27" s="37">
        <v>6</v>
      </c>
      <c r="G27" s="38">
        <v>6</v>
      </c>
      <c r="H27" s="31">
        <f>Table1[[#This Row],[LENGTH (in.)]]*Table1[[#This Row],[QTY.]]</f>
        <v>36</v>
      </c>
      <c r="I27" s="17"/>
      <c r="J27" s="17"/>
      <c r="K27" s="17"/>
    </row>
    <row r="28" spans="1:1023" x14ac:dyDescent="0.25">
      <c r="A28" s="16">
        <v>15</v>
      </c>
      <c r="B28" s="16">
        <v>1370315</v>
      </c>
      <c r="C28" s="16"/>
      <c r="D28" s="32"/>
      <c r="E28" s="36" t="s">
        <v>123</v>
      </c>
      <c r="F28" s="37">
        <v>1</v>
      </c>
      <c r="G28" s="38">
        <v>9</v>
      </c>
      <c r="H28" s="31">
        <f>Table1[[#This Row],[LENGTH (in.)]]*Table1[[#This Row],[QTY.]]</f>
        <v>9</v>
      </c>
      <c r="I28" s="17"/>
      <c r="J28" s="17"/>
      <c r="K28" s="17"/>
    </row>
    <row r="29" spans="1:1023" x14ac:dyDescent="0.25">
      <c r="A29" s="16">
        <v>14</v>
      </c>
      <c r="B29" s="16">
        <v>1370305</v>
      </c>
      <c r="C29" s="16"/>
      <c r="D29" s="32"/>
      <c r="E29" s="36" t="s">
        <v>120</v>
      </c>
      <c r="F29" s="37">
        <v>1</v>
      </c>
      <c r="G29" s="38">
        <v>701.625</v>
      </c>
      <c r="H29" s="31">
        <f>Table1[[#This Row],[LENGTH (in.)]]*Table1[[#This Row],[QTY.]]</f>
        <v>701.625</v>
      </c>
      <c r="I29" s="17"/>
      <c r="J29" s="17"/>
      <c r="K29" s="17"/>
    </row>
    <row r="30" spans="1:1023" x14ac:dyDescent="0.25">
      <c r="A30" s="16">
        <v>16</v>
      </c>
      <c r="B30" s="16">
        <v>1370320</v>
      </c>
      <c r="C30" s="16"/>
      <c r="D30" s="32"/>
      <c r="E30" s="36" t="s">
        <v>124</v>
      </c>
      <c r="F30" s="37">
        <v>1</v>
      </c>
      <c r="G30" s="38">
        <v>160.25</v>
      </c>
      <c r="H30" s="31">
        <f>Table1[[#This Row],[LENGTH (in.)]]*Table1[[#This Row],[QTY.]]</f>
        <v>160.25</v>
      </c>
      <c r="I30" s="17"/>
      <c r="J30" s="17"/>
      <c r="K30" s="17"/>
    </row>
    <row r="31" spans="1:1023" x14ac:dyDescent="0.25">
      <c r="A31" s="16"/>
      <c r="B31" s="16">
        <v>1370330</v>
      </c>
      <c r="C31" s="16"/>
      <c r="D31" s="32"/>
      <c r="E31" s="36" t="s">
        <v>90</v>
      </c>
      <c r="F31" s="37">
        <v>4</v>
      </c>
      <c r="G31" s="38">
        <v>8</v>
      </c>
      <c r="H31" s="31">
        <f>Table1[[#This Row],[LENGTH (in.)]]*Table1[[#This Row],[QTY.]]</f>
        <v>32</v>
      </c>
      <c r="I31" s="17"/>
      <c r="J31" s="17"/>
      <c r="K31" s="17"/>
    </row>
    <row r="32" spans="1:1023" x14ac:dyDescent="0.25">
      <c r="A32" s="16">
        <v>17</v>
      </c>
      <c r="B32" s="16">
        <v>1370343</v>
      </c>
      <c r="C32" s="16"/>
      <c r="D32" s="32"/>
      <c r="E32" s="36" t="s">
        <v>90</v>
      </c>
      <c r="F32" s="37">
        <v>1</v>
      </c>
      <c r="G32" s="38">
        <v>133.375</v>
      </c>
      <c r="H32" s="31">
        <f>Table1[[#This Row],[LENGTH (in.)]]*Table1[[#This Row],[QTY.]]</f>
        <v>133.375</v>
      </c>
      <c r="I32" s="17"/>
      <c r="J32" s="17"/>
      <c r="K32" s="17"/>
    </row>
    <row r="33" spans="1:11" x14ac:dyDescent="0.25">
      <c r="A33" s="16">
        <v>11</v>
      </c>
      <c r="B33" s="16">
        <v>1370337</v>
      </c>
      <c r="C33" s="16"/>
      <c r="D33" s="32"/>
      <c r="E33" s="36" t="s">
        <v>90</v>
      </c>
      <c r="F33" s="37">
        <v>1</v>
      </c>
      <c r="G33" s="38">
        <v>91.625</v>
      </c>
      <c r="H33" s="31">
        <f>Table1[[#This Row],[LENGTH (in.)]]*Table1[[#This Row],[QTY.]]</f>
        <v>91.625</v>
      </c>
      <c r="I33" s="17"/>
      <c r="J33" s="17"/>
      <c r="K33" s="17"/>
    </row>
    <row r="34" spans="1:11" x14ac:dyDescent="0.25">
      <c r="A34" s="16">
        <v>9</v>
      </c>
      <c r="B34" s="16">
        <v>1370307</v>
      </c>
      <c r="C34" s="16"/>
      <c r="D34" s="32"/>
      <c r="E34" s="36" t="s">
        <v>90</v>
      </c>
      <c r="F34" s="37">
        <v>1</v>
      </c>
      <c r="G34" s="38">
        <v>227</v>
      </c>
      <c r="H34" s="31">
        <f>Table1[[#This Row],[LENGTH (in.)]]*Table1[[#This Row],[QTY.]]</f>
        <v>227</v>
      </c>
      <c r="I34" s="17"/>
      <c r="J34" s="17"/>
      <c r="K34" s="17"/>
    </row>
    <row r="35" spans="1:11" x14ac:dyDescent="0.25">
      <c r="A35" s="16">
        <v>10</v>
      </c>
      <c r="B35" s="16">
        <v>1370332</v>
      </c>
      <c r="C35" s="16"/>
      <c r="D35" s="32"/>
      <c r="E35" s="36" t="s">
        <v>90</v>
      </c>
      <c r="F35" s="37">
        <v>4</v>
      </c>
      <c r="G35" s="38">
        <v>208.375</v>
      </c>
      <c r="H35" s="31">
        <f>Table1[[#This Row],[LENGTH (in.)]]*Table1[[#This Row],[QTY.]]</f>
        <v>833.5</v>
      </c>
      <c r="I35" s="17"/>
      <c r="J35" s="17"/>
      <c r="K35" s="17"/>
    </row>
    <row r="36" spans="1:11" x14ac:dyDescent="0.25">
      <c r="A36" s="16">
        <v>12</v>
      </c>
      <c r="B36" s="16">
        <v>1371269</v>
      </c>
      <c r="C36" s="16"/>
      <c r="D36" s="32"/>
      <c r="E36" s="36" t="s">
        <v>90</v>
      </c>
      <c r="F36" s="37">
        <v>4</v>
      </c>
      <c r="G36" s="38">
        <v>175.75</v>
      </c>
      <c r="H36" s="31">
        <f>Table1[[#This Row],[LENGTH (in.)]]*Table1[[#This Row],[QTY.]]</f>
        <v>703</v>
      </c>
      <c r="I36" s="17"/>
      <c r="J36" s="17"/>
      <c r="K36" s="17"/>
    </row>
    <row r="37" spans="1:11" x14ac:dyDescent="0.25">
      <c r="A37" s="16">
        <v>8</v>
      </c>
      <c r="B37" s="16"/>
      <c r="C37" s="16"/>
      <c r="D37" s="32"/>
      <c r="E37" s="36" t="s">
        <v>92</v>
      </c>
      <c r="F37" s="37">
        <v>5</v>
      </c>
      <c r="G37" s="38">
        <v>153.375</v>
      </c>
      <c r="H37" s="31">
        <f>Table1[[#This Row],[LENGTH (in.)]]*Table1[[#This Row],[QTY.]]</f>
        <v>766.875</v>
      </c>
      <c r="I37" s="17"/>
      <c r="J37" s="17"/>
      <c r="K37" s="17"/>
    </row>
    <row r="38" spans="1:11" x14ac:dyDescent="0.25">
      <c r="A38" s="16">
        <v>7</v>
      </c>
      <c r="B38" s="16">
        <v>1369740</v>
      </c>
      <c r="C38" s="16"/>
      <c r="D38" s="32"/>
      <c r="E38" s="36" t="s">
        <v>125</v>
      </c>
      <c r="F38" s="37">
        <v>1</v>
      </c>
      <c r="G38" s="38">
        <v>163</v>
      </c>
      <c r="H38" s="31">
        <f>Table1[[#This Row],[LENGTH (in.)]]*Table1[[#This Row],[QTY.]]</f>
        <v>163</v>
      </c>
      <c r="I38" s="17"/>
      <c r="J38" s="17"/>
      <c r="K38" s="17"/>
    </row>
    <row r="39" spans="1:11" x14ac:dyDescent="0.25">
      <c r="A39" s="16">
        <v>6</v>
      </c>
      <c r="B39" s="16">
        <v>1369652</v>
      </c>
      <c r="C39" s="16"/>
      <c r="D39" s="32"/>
      <c r="E39" s="36" t="s">
        <v>125</v>
      </c>
      <c r="F39" s="37">
        <v>1</v>
      </c>
      <c r="G39" s="38">
        <v>207.375</v>
      </c>
      <c r="H39" s="31">
        <f>Table1[[#This Row],[LENGTH (in.)]]*Table1[[#This Row],[QTY.]]</f>
        <v>207.375</v>
      </c>
      <c r="I39" s="17"/>
      <c r="J39" s="17"/>
      <c r="K39" s="17"/>
    </row>
    <row r="40" spans="1:11" x14ac:dyDescent="0.25">
      <c r="A40" s="16">
        <v>3</v>
      </c>
      <c r="B40" s="16" t="s">
        <v>45</v>
      </c>
      <c r="C40" s="16"/>
      <c r="D40" s="32"/>
      <c r="E40" s="36" t="s">
        <v>125</v>
      </c>
      <c r="F40" s="37">
        <v>1</v>
      </c>
      <c r="G40" s="38">
        <v>155.625</v>
      </c>
      <c r="H40" s="31">
        <f>Table1[[#This Row],[LENGTH (in.)]]*Table1[[#This Row],[QTY.]]</f>
        <v>155.625</v>
      </c>
      <c r="I40" s="17"/>
      <c r="J40" s="17"/>
      <c r="K40" s="17"/>
    </row>
    <row r="41" spans="1:11" x14ac:dyDescent="0.25">
      <c r="A41" s="16">
        <v>5</v>
      </c>
      <c r="B41" s="16" t="s">
        <v>45</v>
      </c>
      <c r="C41" s="16"/>
      <c r="D41" s="32"/>
      <c r="E41" s="36" t="s">
        <v>126</v>
      </c>
      <c r="F41" s="37">
        <v>2</v>
      </c>
      <c r="G41" s="38">
        <v>157.25</v>
      </c>
      <c r="H41" s="31">
        <f>Table1[[#This Row],[LENGTH (in.)]]*Table1[[#This Row],[QTY.]]</f>
        <v>314.5</v>
      </c>
      <c r="I41" s="17"/>
      <c r="J41" s="17"/>
      <c r="K41" s="17"/>
    </row>
    <row r="42" spans="1:11" x14ac:dyDescent="0.25">
      <c r="A42" s="16">
        <v>4</v>
      </c>
      <c r="B42" s="16" t="s">
        <v>45</v>
      </c>
      <c r="C42" s="16"/>
      <c r="D42" s="32"/>
      <c r="E42" s="36" t="s">
        <v>126</v>
      </c>
      <c r="F42" s="37">
        <v>2</v>
      </c>
      <c r="G42" s="38">
        <v>211.125</v>
      </c>
      <c r="H42" s="31">
        <f>Table1[[#This Row],[LENGTH (in.)]]*Table1[[#This Row],[QTY.]]</f>
        <v>422.25</v>
      </c>
      <c r="I42" s="17"/>
      <c r="J42" s="17"/>
      <c r="K42" s="17"/>
    </row>
    <row r="43" spans="1:11" x14ac:dyDescent="0.25">
      <c r="A43" s="16"/>
      <c r="B43" s="16" t="s">
        <v>115</v>
      </c>
      <c r="C43" s="16"/>
      <c r="D43" s="32"/>
      <c r="E43" s="36" t="s">
        <v>126</v>
      </c>
      <c r="F43" s="37">
        <v>1</v>
      </c>
      <c r="G43" s="38">
        <v>155.125</v>
      </c>
      <c r="H43" s="31">
        <f>Table1[[#This Row],[LENGTH (in.)]]*Table1[[#This Row],[QTY.]]</f>
        <v>155.125</v>
      </c>
      <c r="I43" s="17"/>
      <c r="J43" s="17"/>
      <c r="K43" s="17"/>
    </row>
    <row r="44" spans="1:11" x14ac:dyDescent="0.25">
      <c r="A44" s="16">
        <v>2</v>
      </c>
      <c r="B44" s="16"/>
      <c r="C44" s="16"/>
      <c r="D44" s="32"/>
      <c r="E44" s="36" t="s">
        <v>126</v>
      </c>
      <c r="F44" s="37">
        <v>1</v>
      </c>
      <c r="G44" s="38">
        <v>155.625</v>
      </c>
      <c r="H44" s="31">
        <f>Table1[[#This Row],[LENGTH (in.)]]*Table1[[#This Row],[QTY.]]</f>
        <v>155.625</v>
      </c>
      <c r="I44" s="17"/>
      <c r="J44" s="17"/>
      <c r="K44" s="17"/>
    </row>
    <row r="45" spans="1:11" x14ac:dyDescent="0.25">
      <c r="A45" s="16"/>
      <c r="B45" s="16" t="s">
        <v>115</v>
      </c>
      <c r="C45" s="16"/>
      <c r="D45" s="32"/>
      <c r="E45" s="36" t="s">
        <v>61</v>
      </c>
      <c r="F45" s="37">
        <v>1</v>
      </c>
      <c r="G45" s="38">
        <v>701.5</v>
      </c>
      <c r="H45" s="31">
        <f>Table1[[#This Row],[LENGTH (in.)]]*Table1[[#This Row],[QTY.]]</f>
        <v>701.5</v>
      </c>
      <c r="I45" s="17"/>
      <c r="J45" s="17"/>
      <c r="K45" s="17"/>
    </row>
    <row r="46" spans="1:11" x14ac:dyDescent="0.25">
      <c r="A46" s="16">
        <v>1</v>
      </c>
      <c r="B46" s="16">
        <v>1311415</v>
      </c>
      <c r="C46" s="16"/>
      <c r="D46" s="32"/>
      <c r="E46" s="36" t="s">
        <v>127</v>
      </c>
      <c r="F46" s="37">
        <v>2</v>
      </c>
      <c r="G46" s="38">
        <v>203</v>
      </c>
      <c r="H46" s="31">
        <f>Table1[[#This Row],[LENGTH (in.)]]*Table1[[#This Row],[QTY.]]</f>
        <v>406</v>
      </c>
      <c r="I46" s="17"/>
      <c r="J46" s="17"/>
      <c r="K46" s="17"/>
    </row>
    <row r="47" spans="1:11" x14ac:dyDescent="0.25">
      <c r="A47" s="16">
        <v>1</v>
      </c>
      <c r="B47" s="16">
        <v>1289930</v>
      </c>
      <c r="C47" s="16"/>
      <c r="D47" s="32"/>
      <c r="E47" s="39" t="s">
        <v>81</v>
      </c>
      <c r="F47" s="40">
        <v>1</v>
      </c>
      <c r="G47" s="41">
        <v>203</v>
      </c>
      <c r="H47" s="31">
        <f>Table1[[#This Row],[LENGTH (in.)]]*Table1[[#This Row],[QTY.]]</f>
        <v>203</v>
      </c>
      <c r="I47" s="17"/>
      <c r="J47" s="17"/>
      <c r="K47" s="17"/>
    </row>
    <row r="48" spans="1:11" x14ac:dyDescent="0.25">
      <c r="A48" s="16">
        <v>5</v>
      </c>
      <c r="B48" s="16">
        <v>1289931</v>
      </c>
      <c r="C48" s="16"/>
      <c r="D48" s="32"/>
      <c r="E48" s="39" t="s">
        <v>81</v>
      </c>
      <c r="F48" s="40">
        <v>8</v>
      </c>
      <c r="G48" s="41">
        <v>203</v>
      </c>
      <c r="H48" s="31">
        <f>Table1[[#This Row],[LENGTH (in.)]]*Table1[[#This Row],[QTY.]]</f>
        <v>1624</v>
      </c>
      <c r="I48" s="17"/>
      <c r="J48" s="17"/>
      <c r="K48" s="17"/>
    </row>
    <row r="49" spans="1:11" x14ac:dyDescent="0.25">
      <c r="A49" s="16">
        <v>6</v>
      </c>
      <c r="B49" s="16">
        <v>1289932</v>
      </c>
      <c r="C49" s="16"/>
      <c r="D49" s="32"/>
      <c r="E49" s="39" t="s">
        <v>81</v>
      </c>
      <c r="F49" s="40">
        <v>1</v>
      </c>
      <c r="G49" s="41">
        <v>75.25</v>
      </c>
      <c r="H49" s="31">
        <f>Table1[[#This Row],[LENGTH (in.)]]*Table1[[#This Row],[QTY.]]</f>
        <v>75.25</v>
      </c>
      <c r="I49" s="17"/>
      <c r="J49" s="17"/>
      <c r="K49" s="17"/>
    </row>
    <row r="50" spans="1:11" x14ac:dyDescent="0.25">
      <c r="A50" s="16">
        <v>7</v>
      </c>
      <c r="B50" s="16">
        <v>1289934</v>
      </c>
      <c r="C50" s="16"/>
      <c r="D50" s="32"/>
      <c r="E50" s="39" t="s">
        <v>81</v>
      </c>
      <c r="F50" s="40">
        <v>1</v>
      </c>
      <c r="G50" s="41">
        <v>73</v>
      </c>
      <c r="H50" s="31">
        <f>Table1[[#This Row],[LENGTH (in.)]]*Table1[[#This Row],[QTY.]]</f>
        <v>73</v>
      </c>
      <c r="I50" s="17"/>
      <c r="J50" s="17"/>
      <c r="K50" s="17"/>
    </row>
    <row r="51" spans="1:11" x14ac:dyDescent="0.25">
      <c r="A51" s="16">
        <v>8</v>
      </c>
      <c r="B51" s="16">
        <v>1289955</v>
      </c>
      <c r="C51" s="16"/>
      <c r="D51" s="32"/>
      <c r="E51" s="39" t="s">
        <v>81</v>
      </c>
      <c r="F51" s="40">
        <v>1</v>
      </c>
      <c r="G51" s="41">
        <v>72.75</v>
      </c>
      <c r="H51" s="31">
        <f>Table1[[#This Row],[LENGTH (in.)]]*Table1[[#This Row],[QTY.]]</f>
        <v>72.75</v>
      </c>
      <c r="I51" s="17"/>
      <c r="J51" s="17"/>
      <c r="K51" s="17"/>
    </row>
    <row r="52" spans="1:11" x14ac:dyDescent="0.25">
      <c r="A52" s="16">
        <v>9</v>
      </c>
      <c r="B52" s="16">
        <v>1289956</v>
      </c>
      <c r="C52" s="16"/>
      <c r="D52" s="32"/>
      <c r="E52" s="39" t="s">
        <v>82</v>
      </c>
      <c r="F52" s="40">
        <v>7</v>
      </c>
      <c r="G52" s="41">
        <v>203</v>
      </c>
      <c r="H52" s="31">
        <f>Table1[[#This Row],[LENGTH (in.)]]*Table1[[#This Row],[QTY.]]</f>
        <v>1421</v>
      </c>
      <c r="I52" s="17"/>
      <c r="J52" s="17"/>
      <c r="K52" s="17"/>
    </row>
    <row r="53" spans="1:11" x14ac:dyDescent="0.25">
      <c r="A53" s="16">
        <v>10</v>
      </c>
      <c r="B53" s="16">
        <v>1290112</v>
      </c>
      <c r="C53" s="16"/>
      <c r="D53" s="32"/>
      <c r="E53" s="39" t="s">
        <v>82</v>
      </c>
      <c r="F53" s="40">
        <v>4</v>
      </c>
      <c r="G53" s="41">
        <v>163</v>
      </c>
      <c r="H53" s="31">
        <f>Table1[[#This Row],[LENGTH (in.)]]*Table1[[#This Row],[QTY.]]</f>
        <v>652</v>
      </c>
      <c r="I53" s="17"/>
      <c r="J53" s="17"/>
      <c r="K53" s="17"/>
    </row>
    <row r="54" spans="1:11" x14ac:dyDescent="0.25">
      <c r="A54" s="16">
        <v>11</v>
      </c>
      <c r="B54" s="16">
        <v>1289930</v>
      </c>
      <c r="C54" s="16"/>
      <c r="D54" s="32"/>
      <c r="E54" s="39" t="s">
        <v>82</v>
      </c>
      <c r="F54" s="40">
        <v>5</v>
      </c>
      <c r="G54" s="41">
        <v>75.25</v>
      </c>
      <c r="H54" s="31">
        <f>Table1[[#This Row],[LENGTH (in.)]]*Table1[[#This Row],[QTY.]]</f>
        <v>376.25</v>
      </c>
      <c r="I54" s="17"/>
      <c r="J54" s="17"/>
      <c r="K54" s="17"/>
    </row>
    <row r="55" spans="1:11" x14ac:dyDescent="0.25">
      <c r="A55" s="16">
        <v>12</v>
      </c>
      <c r="B55" s="16">
        <v>1289931</v>
      </c>
      <c r="C55" s="16"/>
      <c r="D55" s="32"/>
      <c r="E55" s="39" t="s">
        <v>82</v>
      </c>
      <c r="F55" s="40">
        <v>5</v>
      </c>
      <c r="G55" s="41">
        <v>73</v>
      </c>
      <c r="H55" s="31">
        <f>Table1[[#This Row],[LENGTH (in.)]]*Table1[[#This Row],[QTY.]]</f>
        <v>365</v>
      </c>
      <c r="I55" s="17"/>
      <c r="J55" s="17"/>
      <c r="K55" s="17"/>
    </row>
    <row r="56" spans="1:11" x14ac:dyDescent="0.25">
      <c r="A56" s="16">
        <v>13</v>
      </c>
      <c r="B56" s="16">
        <v>1289932</v>
      </c>
      <c r="C56" s="16"/>
      <c r="D56" s="32"/>
      <c r="E56" s="39" t="s">
        <v>82</v>
      </c>
      <c r="F56" s="40">
        <v>5</v>
      </c>
      <c r="G56" s="41">
        <v>72.75</v>
      </c>
      <c r="H56" s="31">
        <f>Table1[[#This Row],[LENGTH (in.)]]*Table1[[#This Row],[QTY.]]</f>
        <v>363.75</v>
      </c>
      <c r="I56" s="17"/>
      <c r="J56" s="17"/>
      <c r="K56" s="17"/>
    </row>
    <row r="57" spans="1:11" x14ac:dyDescent="0.25">
      <c r="A57" s="16">
        <v>14</v>
      </c>
      <c r="B57" s="16">
        <v>1289959</v>
      </c>
      <c r="C57" s="16"/>
      <c r="D57" s="32"/>
      <c r="E57" s="39" t="s">
        <v>82</v>
      </c>
      <c r="F57" s="40">
        <v>6</v>
      </c>
      <c r="G57" s="41">
        <v>70.25</v>
      </c>
      <c r="H57" s="31">
        <f>Table1[[#This Row],[LENGTH (in.)]]*Table1[[#This Row],[QTY.]]</f>
        <v>421.5</v>
      </c>
      <c r="I57" s="17"/>
      <c r="J57" s="17"/>
      <c r="K57" s="17"/>
    </row>
    <row r="58" spans="1:11" x14ac:dyDescent="0.25">
      <c r="A58" s="16">
        <v>15</v>
      </c>
      <c r="B58" s="16">
        <v>1289960</v>
      </c>
      <c r="C58" s="16"/>
      <c r="D58" s="32"/>
      <c r="E58" s="39" t="s">
        <v>82</v>
      </c>
      <c r="F58" s="40">
        <v>1</v>
      </c>
      <c r="G58" s="41">
        <v>65.5</v>
      </c>
      <c r="H58" s="31">
        <f>Table1[[#This Row],[LENGTH (in.)]]*Table1[[#This Row],[QTY.]]</f>
        <v>65.5</v>
      </c>
      <c r="I58" s="17"/>
      <c r="J58" s="17"/>
      <c r="K58" s="17"/>
    </row>
    <row r="59" spans="1:11" x14ac:dyDescent="0.25">
      <c r="A59" s="16">
        <v>16</v>
      </c>
      <c r="B59" s="16">
        <v>1061955</v>
      </c>
      <c r="C59" s="16"/>
      <c r="D59" s="32"/>
      <c r="E59" s="39" t="s">
        <v>82</v>
      </c>
      <c r="F59" s="40">
        <v>1</v>
      </c>
      <c r="G59" s="41">
        <v>59.5</v>
      </c>
      <c r="H59" s="31">
        <f>Table1[[#This Row],[LENGTH (in.)]]*Table1[[#This Row],[QTY.]]</f>
        <v>59.5</v>
      </c>
      <c r="I59" s="17"/>
      <c r="J59" s="17"/>
      <c r="K59" s="17"/>
    </row>
    <row r="60" spans="1:11" x14ac:dyDescent="0.25">
      <c r="A60" s="16">
        <v>18</v>
      </c>
      <c r="B60" s="16">
        <v>1061956</v>
      </c>
      <c r="C60" s="16"/>
      <c r="D60" s="32"/>
      <c r="E60" s="39" t="s">
        <v>82</v>
      </c>
      <c r="F60" s="40">
        <v>2</v>
      </c>
      <c r="G60" s="41">
        <v>35</v>
      </c>
      <c r="H60" s="31">
        <f>Table1[[#This Row],[LENGTH (in.)]]*Table1[[#This Row],[QTY.]]</f>
        <v>70</v>
      </c>
      <c r="I60" s="17"/>
      <c r="J60" s="17"/>
      <c r="K60" s="17"/>
    </row>
    <row r="61" spans="1:11" x14ac:dyDescent="0.25">
      <c r="A61" s="16">
        <v>19</v>
      </c>
      <c r="B61" s="16">
        <v>1061958</v>
      </c>
      <c r="C61" s="16"/>
      <c r="D61" s="32"/>
      <c r="E61" s="39" t="s">
        <v>121</v>
      </c>
      <c r="F61" s="40">
        <v>1</v>
      </c>
      <c r="G61" s="41">
        <v>203</v>
      </c>
      <c r="H61" s="31">
        <f>Table1[[#This Row],[LENGTH (in.)]]*Table1[[#This Row],[QTY.]]</f>
        <v>203</v>
      </c>
      <c r="I61" s="17"/>
      <c r="J61" s="17"/>
      <c r="K61" s="17"/>
    </row>
    <row r="62" spans="1:11" x14ac:dyDescent="0.25">
      <c r="A62" s="16">
        <v>20</v>
      </c>
      <c r="B62" s="16">
        <v>1289930</v>
      </c>
      <c r="C62" s="16"/>
      <c r="D62" s="32"/>
      <c r="E62" s="39" t="s">
        <v>67</v>
      </c>
      <c r="F62" s="40">
        <v>1</v>
      </c>
      <c r="G62" s="41">
        <v>701.5</v>
      </c>
      <c r="H62" s="31">
        <f>Table1[[#This Row],[LENGTH (in.)]]*Table1[[#This Row],[QTY.]]</f>
        <v>701.5</v>
      </c>
      <c r="I62" s="17"/>
      <c r="J62" s="17"/>
      <c r="K62" s="17"/>
    </row>
    <row r="63" spans="1:11" x14ac:dyDescent="0.25">
      <c r="A63" s="16">
        <v>21</v>
      </c>
      <c r="B63" s="16">
        <v>1289931</v>
      </c>
      <c r="C63" s="16"/>
      <c r="D63" s="32"/>
      <c r="E63" s="39" t="s">
        <v>94</v>
      </c>
      <c r="F63" s="40">
        <v>2</v>
      </c>
      <c r="G63" s="41">
        <v>24.5</v>
      </c>
      <c r="H63" s="31">
        <f>Table1[[#This Row],[LENGTH (in.)]]*Table1[[#This Row],[QTY.]]</f>
        <v>49</v>
      </c>
      <c r="I63" s="17"/>
      <c r="J63" s="17"/>
      <c r="K63" s="17"/>
    </row>
    <row r="64" spans="1:11" x14ac:dyDescent="0.25">
      <c r="A64" s="16">
        <v>22</v>
      </c>
      <c r="B64" s="16">
        <v>1289932</v>
      </c>
      <c r="C64" s="16"/>
      <c r="D64" s="32"/>
      <c r="E64" s="39" t="s">
        <v>94</v>
      </c>
      <c r="F64" s="40">
        <v>2</v>
      </c>
      <c r="G64" s="41">
        <v>9.375</v>
      </c>
      <c r="H64" s="31">
        <f>Table1[[#This Row],[LENGTH (in.)]]*Table1[[#This Row],[QTY.]]</f>
        <v>18.75</v>
      </c>
      <c r="I64" s="17"/>
      <c r="J64" s="17"/>
      <c r="K64" s="17"/>
    </row>
    <row r="65" spans="1:11" x14ac:dyDescent="0.25">
      <c r="A65" s="16">
        <v>23</v>
      </c>
      <c r="B65" s="16">
        <v>1289935</v>
      </c>
      <c r="C65" s="16"/>
      <c r="D65" s="32"/>
      <c r="E65" s="39" t="s">
        <v>94</v>
      </c>
      <c r="F65" s="40">
        <v>9</v>
      </c>
      <c r="G65" s="41">
        <v>8</v>
      </c>
      <c r="H65" s="31">
        <f>Table1[[#This Row],[LENGTH (in.)]]*Table1[[#This Row],[QTY.]]</f>
        <v>72</v>
      </c>
      <c r="I65" s="17"/>
      <c r="J65" s="17"/>
      <c r="K65" s="17"/>
    </row>
    <row r="66" spans="1:11" x14ac:dyDescent="0.25">
      <c r="A66" s="16">
        <v>25</v>
      </c>
      <c r="B66" s="16">
        <v>1289957</v>
      </c>
      <c r="C66" s="16"/>
      <c r="D66" s="32"/>
      <c r="E66" s="39" t="s">
        <v>122</v>
      </c>
      <c r="F66" s="40">
        <v>6</v>
      </c>
      <c r="G66" s="41">
        <v>6</v>
      </c>
      <c r="H66" s="31">
        <f>Table1[[#This Row],[LENGTH (in.)]]*Table1[[#This Row],[QTY.]]</f>
        <v>36</v>
      </c>
      <c r="I66" s="17"/>
      <c r="J66" s="17"/>
      <c r="K66" s="17"/>
    </row>
    <row r="67" spans="1:11" x14ac:dyDescent="0.25">
      <c r="A67" s="16">
        <v>27</v>
      </c>
      <c r="B67" s="16">
        <v>1289958</v>
      </c>
      <c r="C67" s="16"/>
      <c r="D67" s="32"/>
      <c r="E67" s="39" t="s">
        <v>123</v>
      </c>
      <c r="F67" s="40">
        <v>1</v>
      </c>
      <c r="G67" s="41">
        <v>9</v>
      </c>
      <c r="H67" s="31">
        <f>Table1[[#This Row],[LENGTH (in.)]]*Table1[[#This Row],[QTY.]]</f>
        <v>9</v>
      </c>
      <c r="I67" s="17"/>
      <c r="J67" s="17"/>
      <c r="K67" s="17"/>
    </row>
    <row r="68" spans="1:11" x14ac:dyDescent="0.25">
      <c r="A68" s="42">
        <v>29</v>
      </c>
      <c r="B68" s="42">
        <v>1290113</v>
      </c>
      <c r="C68" s="42"/>
      <c r="D68" s="43"/>
      <c r="E68" s="44" t="s">
        <v>120</v>
      </c>
      <c r="F68" s="45">
        <v>1</v>
      </c>
      <c r="G68" s="46">
        <v>701.625</v>
      </c>
      <c r="H68" s="47">
        <f>Table1[[#This Row],[LENGTH (in.)]]*Table1[[#This Row],[QTY.]]</f>
        <v>701.625</v>
      </c>
      <c r="I68" s="48"/>
      <c r="J68" s="48"/>
      <c r="K68" s="48"/>
    </row>
    <row r="69" spans="1:11" x14ac:dyDescent="0.25">
      <c r="A69" s="16"/>
      <c r="B69" s="16"/>
      <c r="C69" s="16"/>
      <c r="D69" s="32"/>
      <c r="E69" s="49" t="s">
        <v>126</v>
      </c>
      <c r="F69" s="50">
        <v>2</v>
      </c>
      <c r="G69" s="51">
        <v>211.125</v>
      </c>
      <c r="H69" s="31">
        <f>Table1[[#This Row],[LENGTH (in.)]]*Table1[[#This Row],[QTY.]]</f>
        <v>422.25</v>
      </c>
      <c r="I69" s="17"/>
      <c r="J69" s="17"/>
      <c r="K69" s="17"/>
    </row>
    <row r="70" spans="1:11" x14ac:dyDescent="0.25">
      <c r="A70" s="16"/>
      <c r="B70" s="16"/>
      <c r="C70" s="16"/>
      <c r="D70" s="32"/>
      <c r="E70" s="49" t="s">
        <v>126</v>
      </c>
      <c r="F70" s="50">
        <v>2</v>
      </c>
      <c r="G70" s="51">
        <v>157.25</v>
      </c>
      <c r="H70" s="31">
        <f>Table1[[#This Row],[LENGTH (in.)]]*Table1[[#This Row],[QTY.]]</f>
        <v>314.5</v>
      </c>
      <c r="I70" s="17"/>
      <c r="J70" s="17"/>
      <c r="K70" s="17"/>
    </row>
    <row r="71" spans="1:11" x14ac:dyDescent="0.25">
      <c r="A71" s="16"/>
      <c r="B71" s="16"/>
      <c r="C71" s="16"/>
      <c r="D71" s="32"/>
      <c r="E71" s="49" t="s">
        <v>126</v>
      </c>
      <c r="F71" s="50">
        <v>1</v>
      </c>
      <c r="G71" s="51">
        <v>155.125</v>
      </c>
      <c r="H71" s="31">
        <f>Table1[[#This Row],[LENGTH (in.)]]*Table1[[#This Row],[QTY.]]</f>
        <v>155.125</v>
      </c>
      <c r="I71" s="17"/>
      <c r="J71" s="17"/>
      <c r="K71" s="17"/>
    </row>
    <row r="72" spans="1:11" x14ac:dyDescent="0.25">
      <c r="A72" s="16"/>
      <c r="B72" s="16"/>
      <c r="C72" s="16"/>
      <c r="D72" s="32"/>
      <c r="E72" s="49" t="s">
        <v>126</v>
      </c>
      <c r="F72" s="50">
        <v>1</v>
      </c>
      <c r="G72" s="51">
        <v>155.625</v>
      </c>
      <c r="H72" s="31">
        <f>Table1[[#This Row],[LENGTH (in.)]]*Table1[[#This Row],[QTY.]]</f>
        <v>155.625</v>
      </c>
      <c r="I72" s="17"/>
      <c r="J72" s="17"/>
      <c r="K72" s="17"/>
    </row>
    <row r="73" spans="1:11" x14ac:dyDescent="0.25">
      <c r="A73" s="16"/>
      <c r="B73" s="16"/>
      <c r="C73" s="16"/>
      <c r="D73" s="32"/>
      <c r="E73" s="49" t="s">
        <v>125</v>
      </c>
      <c r="F73" s="50">
        <v>1</v>
      </c>
      <c r="G73" s="51">
        <v>155.625</v>
      </c>
      <c r="H73" s="31">
        <f>Table1[[#This Row],[LENGTH (in.)]]*Table1[[#This Row],[QTY.]]</f>
        <v>155.625</v>
      </c>
      <c r="I73" s="17"/>
      <c r="J73" s="17"/>
      <c r="K73" s="17"/>
    </row>
    <row r="74" spans="1:11" x14ac:dyDescent="0.25">
      <c r="A74" s="16"/>
      <c r="B74" s="16"/>
      <c r="C74" s="16"/>
      <c r="D74" s="32"/>
      <c r="E74" s="49" t="s">
        <v>125</v>
      </c>
      <c r="F74" s="50">
        <v>1</v>
      </c>
      <c r="G74" s="51">
        <v>207.375</v>
      </c>
      <c r="H74" s="31">
        <f>Table1[[#This Row],[LENGTH (in.)]]*Table1[[#This Row],[QTY.]]</f>
        <v>207.375</v>
      </c>
      <c r="I74" s="17"/>
      <c r="J74" s="17"/>
      <c r="K74" s="17"/>
    </row>
    <row r="75" spans="1:11" x14ac:dyDescent="0.25">
      <c r="A75" s="16"/>
      <c r="B75" s="16"/>
      <c r="C75" s="16"/>
      <c r="D75" s="32"/>
      <c r="E75" s="49" t="s">
        <v>125</v>
      </c>
      <c r="F75" s="50">
        <v>1</v>
      </c>
      <c r="G75" s="51">
        <v>163</v>
      </c>
      <c r="H75" s="31">
        <f>Table1[[#This Row],[LENGTH (in.)]]*Table1[[#This Row],[QTY.]]</f>
        <v>163</v>
      </c>
      <c r="I75" s="17"/>
      <c r="J75" s="17"/>
      <c r="K75" s="17"/>
    </row>
    <row r="76" spans="1:11" x14ac:dyDescent="0.25">
      <c r="A76" s="16"/>
      <c r="B76" s="16"/>
      <c r="C76" s="16"/>
      <c r="D76" s="32"/>
      <c r="E76" s="49" t="s">
        <v>92</v>
      </c>
      <c r="F76" s="50">
        <v>5</v>
      </c>
      <c r="G76" s="51">
        <v>153.375</v>
      </c>
      <c r="H76" s="31">
        <f>Table1[[#This Row],[LENGTH (in.)]]*Table1[[#This Row],[QTY.]]</f>
        <v>766.875</v>
      </c>
      <c r="I76" s="17"/>
      <c r="J76" s="17"/>
      <c r="K76" s="17"/>
    </row>
    <row r="77" spans="1:11" x14ac:dyDescent="0.25">
      <c r="A77" s="16"/>
      <c r="B77" s="16"/>
      <c r="C77" s="16"/>
      <c r="D77" s="32"/>
      <c r="E77" s="49" t="s">
        <v>90</v>
      </c>
      <c r="F77" s="50">
        <v>4</v>
      </c>
      <c r="G77" s="51">
        <v>208.375</v>
      </c>
      <c r="H77" s="31">
        <f>Table1[[#This Row],[LENGTH (in.)]]*Table1[[#This Row],[QTY.]]</f>
        <v>833.5</v>
      </c>
      <c r="I77" s="17"/>
      <c r="J77" s="17"/>
      <c r="K77" s="17"/>
    </row>
    <row r="78" spans="1:11" x14ac:dyDescent="0.25">
      <c r="A78" s="16"/>
      <c r="B78" s="16"/>
      <c r="C78" s="16"/>
      <c r="D78" s="32"/>
      <c r="E78" s="49" t="s">
        <v>90</v>
      </c>
      <c r="F78" s="50">
        <v>4</v>
      </c>
      <c r="G78" s="51">
        <v>175.75</v>
      </c>
      <c r="H78" s="31">
        <f>Table1[[#This Row],[LENGTH (in.)]]*Table1[[#This Row],[QTY.]]</f>
        <v>703</v>
      </c>
      <c r="I78" s="17"/>
      <c r="J78" s="17"/>
      <c r="K78" s="17"/>
    </row>
    <row r="79" spans="1:11" x14ac:dyDescent="0.25">
      <c r="A79" s="16"/>
      <c r="B79" s="16"/>
      <c r="C79" s="16"/>
      <c r="D79" s="32"/>
      <c r="E79" s="49" t="s">
        <v>61</v>
      </c>
      <c r="F79" s="50">
        <v>1</v>
      </c>
      <c r="G79" s="51">
        <v>686.5</v>
      </c>
      <c r="H79" s="31">
        <f>Table1[[#This Row],[LENGTH (in.)]]*Table1[[#This Row],[QTY.]]</f>
        <v>686.5</v>
      </c>
      <c r="I79" s="17"/>
      <c r="J79" s="17"/>
      <c r="K79" s="17"/>
    </row>
    <row r="80" spans="1:11" x14ac:dyDescent="0.25">
      <c r="A80" s="16"/>
      <c r="B80" s="16"/>
      <c r="C80" s="16"/>
      <c r="D80" s="32"/>
      <c r="E80" s="49" t="s">
        <v>81</v>
      </c>
      <c r="F80" s="50">
        <v>11</v>
      </c>
      <c r="G80" s="51">
        <v>203</v>
      </c>
      <c r="H80" s="31">
        <f>Table1[[#This Row],[LENGTH (in.)]]*Table1[[#This Row],[QTY.]]</f>
        <v>2233</v>
      </c>
      <c r="I80" s="17"/>
      <c r="J80" s="17"/>
      <c r="K80" s="17"/>
    </row>
    <row r="81" spans="1:11" x14ac:dyDescent="0.25">
      <c r="A81" s="16"/>
      <c r="B81" s="16"/>
      <c r="C81" s="16"/>
      <c r="D81" s="32"/>
      <c r="E81" s="49" t="s">
        <v>81</v>
      </c>
      <c r="F81" s="50">
        <v>4</v>
      </c>
      <c r="G81" s="51">
        <v>70.5</v>
      </c>
      <c r="H81" s="31">
        <f>Table1[[#This Row],[LENGTH (in.)]]*Table1[[#This Row],[QTY.]]</f>
        <v>282</v>
      </c>
      <c r="I81" s="17"/>
      <c r="J81" s="17"/>
      <c r="K81" s="17"/>
    </row>
    <row r="82" spans="1:11" x14ac:dyDescent="0.25">
      <c r="A82" s="16"/>
      <c r="B82" s="16"/>
      <c r="C82" s="16"/>
      <c r="D82" s="32"/>
      <c r="E82" s="49" t="s">
        <v>81</v>
      </c>
      <c r="F82" s="50">
        <v>8</v>
      </c>
      <c r="G82" s="51">
        <v>68.5</v>
      </c>
      <c r="H82" s="31">
        <f>Table1[[#This Row],[LENGTH (in.)]]*Table1[[#This Row],[QTY.]]</f>
        <v>548</v>
      </c>
      <c r="I82" s="17"/>
      <c r="J82" s="17"/>
      <c r="K82" s="17"/>
    </row>
    <row r="83" spans="1:11" x14ac:dyDescent="0.25">
      <c r="A83" s="16"/>
      <c r="B83" s="16"/>
      <c r="C83" s="16"/>
      <c r="D83" s="32"/>
      <c r="E83" s="49" t="s">
        <v>81</v>
      </c>
      <c r="F83" s="50">
        <v>8</v>
      </c>
      <c r="G83" s="51">
        <v>66.5</v>
      </c>
      <c r="H83" s="31">
        <f>Table1[[#This Row],[LENGTH (in.)]]*Table1[[#This Row],[QTY.]]</f>
        <v>532</v>
      </c>
      <c r="I83" s="17"/>
      <c r="J83" s="17"/>
      <c r="K83" s="17"/>
    </row>
    <row r="84" spans="1:11" x14ac:dyDescent="0.25">
      <c r="A84" s="16"/>
      <c r="B84" s="16"/>
      <c r="C84" s="16"/>
      <c r="D84" s="32"/>
      <c r="E84" s="49" t="s">
        <v>81</v>
      </c>
      <c r="F84" s="50">
        <v>8</v>
      </c>
      <c r="G84" s="51">
        <v>64.5</v>
      </c>
      <c r="H84" s="31">
        <f>Table1[[#This Row],[LENGTH (in.)]]*Table1[[#This Row],[QTY.]]</f>
        <v>516</v>
      </c>
      <c r="I84" s="17"/>
      <c r="J84" s="17"/>
      <c r="K84" s="17"/>
    </row>
    <row r="85" spans="1:11" x14ac:dyDescent="0.25">
      <c r="A85" s="16"/>
      <c r="B85" s="16"/>
      <c r="C85" s="16"/>
      <c r="D85" s="32"/>
      <c r="E85" s="49" t="s">
        <v>81</v>
      </c>
      <c r="F85" s="50">
        <v>4</v>
      </c>
      <c r="G85" s="51">
        <v>60.5</v>
      </c>
      <c r="H85" s="31">
        <f>Table1[[#This Row],[LENGTH (in.)]]*Table1[[#This Row],[QTY.]]</f>
        <v>242</v>
      </c>
      <c r="I85" s="17"/>
      <c r="J85" s="17"/>
      <c r="K85" s="17"/>
    </row>
    <row r="86" spans="1:11" x14ac:dyDescent="0.25">
      <c r="A86" s="16"/>
      <c r="B86" s="16"/>
      <c r="C86" s="16"/>
      <c r="D86" s="32"/>
      <c r="E86" s="49" t="s">
        <v>121</v>
      </c>
      <c r="F86" s="50">
        <v>1</v>
      </c>
      <c r="G86" s="51">
        <v>203</v>
      </c>
      <c r="H86" s="31">
        <f>Table1[[#This Row],[LENGTH (in.)]]*Table1[[#This Row],[QTY.]]</f>
        <v>203</v>
      </c>
      <c r="I86" s="17"/>
      <c r="J86" s="17"/>
      <c r="K86" s="17"/>
    </row>
    <row r="87" spans="1:11" x14ac:dyDescent="0.25">
      <c r="A87" s="16"/>
      <c r="B87" s="16"/>
      <c r="C87" s="16"/>
      <c r="D87" s="32"/>
      <c r="E87" s="49" t="s">
        <v>121</v>
      </c>
      <c r="F87" s="50">
        <v>1</v>
      </c>
      <c r="G87" s="51">
        <v>203</v>
      </c>
      <c r="H87" s="31">
        <f>Table1[[#This Row],[LENGTH (in.)]]*Table1[[#This Row],[QTY.]]</f>
        <v>203</v>
      </c>
      <c r="I87" s="17"/>
      <c r="J87" s="17"/>
      <c r="K87" s="17"/>
    </row>
    <row r="88" spans="1:11" x14ac:dyDescent="0.25">
      <c r="A88" s="16"/>
      <c r="B88" s="16"/>
      <c r="C88" s="16"/>
      <c r="D88" s="32"/>
      <c r="E88" s="49" t="s">
        <v>67</v>
      </c>
      <c r="F88" s="50">
        <v>1</v>
      </c>
      <c r="G88" s="51">
        <v>686.5</v>
      </c>
      <c r="H88" s="31">
        <f>Table1[[#This Row],[LENGTH (in.)]]*Table1[[#This Row],[QTY.]]</f>
        <v>686.5</v>
      </c>
      <c r="I88" s="17"/>
      <c r="J88" s="17"/>
      <c r="K88" s="17"/>
    </row>
    <row r="89" spans="1:11" x14ac:dyDescent="0.25">
      <c r="A89" s="16"/>
      <c r="B89" s="16"/>
      <c r="C89" s="16"/>
      <c r="D89" s="32"/>
      <c r="E89" s="49" t="s">
        <v>94</v>
      </c>
      <c r="F89" s="50">
        <v>2</v>
      </c>
      <c r="G89" s="51">
        <v>29.125</v>
      </c>
      <c r="H89" s="31">
        <f>Table1[[#This Row],[LENGTH (in.)]]*Table1[[#This Row],[QTY.]]</f>
        <v>58.25</v>
      </c>
      <c r="I89" s="17"/>
      <c r="J89" s="17"/>
      <c r="K89" s="17"/>
    </row>
    <row r="90" spans="1:11" x14ac:dyDescent="0.25">
      <c r="A90" s="16"/>
      <c r="B90" s="16"/>
      <c r="C90" s="16"/>
      <c r="D90" s="32"/>
      <c r="E90" s="49" t="s">
        <v>94</v>
      </c>
      <c r="F90" s="50">
        <v>2</v>
      </c>
      <c r="G90" s="51">
        <v>19.625</v>
      </c>
      <c r="H90" s="31">
        <f>Table1[[#This Row],[LENGTH (in.)]]*Table1[[#This Row],[QTY.]]</f>
        <v>39.25</v>
      </c>
      <c r="I90" s="17"/>
      <c r="J90" s="17"/>
      <c r="K90" s="17"/>
    </row>
    <row r="91" spans="1:11" x14ac:dyDescent="0.25">
      <c r="A91" s="16"/>
      <c r="B91" s="16"/>
      <c r="C91" s="16"/>
      <c r="D91" s="32"/>
      <c r="E91" s="49" t="s">
        <v>94</v>
      </c>
      <c r="F91" s="50">
        <v>18</v>
      </c>
      <c r="G91" s="51">
        <v>8</v>
      </c>
      <c r="H91" s="31">
        <f>Table1[[#This Row],[LENGTH (in.)]]*Table1[[#This Row],[QTY.]]</f>
        <v>144</v>
      </c>
      <c r="I91" s="17"/>
      <c r="J91" s="17"/>
      <c r="K91" s="17"/>
    </row>
    <row r="92" spans="1:11" x14ac:dyDescent="0.25">
      <c r="A92" s="16"/>
      <c r="B92" s="16"/>
      <c r="C92" s="16"/>
      <c r="D92" s="32"/>
      <c r="E92" s="49" t="s">
        <v>122</v>
      </c>
      <c r="F92" s="50">
        <v>6</v>
      </c>
      <c r="G92" s="51">
        <v>6</v>
      </c>
      <c r="H92" s="31">
        <f>Table1[[#This Row],[LENGTH (in.)]]*Table1[[#This Row],[QTY.]]</f>
        <v>36</v>
      </c>
      <c r="I92" s="17"/>
      <c r="J92" s="17"/>
      <c r="K92" s="17"/>
    </row>
    <row r="93" spans="1:11" x14ac:dyDescent="0.25">
      <c r="A93" s="16"/>
      <c r="B93" s="16"/>
      <c r="C93" s="16"/>
      <c r="D93" s="32"/>
      <c r="E93" s="49" t="s">
        <v>123</v>
      </c>
      <c r="F93" s="50">
        <v>2</v>
      </c>
      <c r="G93" s="51">
        <v>9</v>
      </c>
      <c r="H93" s="31">
        <f>Table1[[#This Row],[LENGTH (in.)]]*Table1[[#This Row],[QTY.]]</f>
        <v>18</v>
      </c>
      <c r="I93" s="17"/>
      <c r="J93" s="17"/>
      <c r="K93" s="17"/>
    </row>
    <row r="94" spans="1:11" x14ac:dyDescent="0.25">
      <c r="A94" s="16"/>
      <c r="B94" s="16"/>
      <c r="C94" s="16"/>
      <c r="D94" s="32"/>
      <c r="E94" s="49" t="s">
        <v>120</v>
      </c>
      <c r="F94" s="50">
        <v>1</v>
      </c>
      <c r="G94" s="51">
        <v>686.5</v>
      </c>
      <c r="H94" s="31">
        <f>Table1[[#This Row],[LENGTH (in.)]]*Table1[[#This Row],[QTY.]]</f>
        <v>686.5</v>
      </c>
      <c r="I94" s="17"/>
      <c r="J94" s="17"/>
      <c r="K94" s="17"/>
    </row>
    <row r="95" spans="1:11" x14ac:dyDescent="0.25">
      <c r="A95" s="16"/>
      <c r="B95" s="16"/>
      <c r="C95" s="16"/>
      <c r="D95" s="32"/>
      <c r="E95" s="49" t="s">
        <v>90</v>
      </c>
      <c r="F95" s="50">
        <v>4</v>
      </c>
      <c r="G95" s="51">
        <v>8</v>
      </c>
      <c r="H95" s="31">
        <f>Table1[[#This Row],[LENGTH (in.)]]*Table1[[#This Row],[QTY.]]</f>
        <v>32</v>
      </c>
      <c r="I95" s="17"/>
      <c r="J95" s="17"/>
      <c r="K95" s="17"/>
    </row>
    <row r="96" spans="1:11" x14ac:dyDescent="0.25">
      <c r="A96" s="16"/>
      <c r="B96" s="16"/>
      <c r="C96" s="16"/>
      <c r="D96" s="32"/>
      <c r="E96" s="49" t="s">
        <v>90</v>
      </c>
      <c r="F96" s="50">
        <v>2</v>
      </c>
      <c r="G96" s="51">
        <v>175.75</v>
      </c>
      <c r="H96" s="31">
        <f>Table1[[#This Row],[LENGTH (in.)]]*Table1[[#This Row],[QTY.]]</f>
        <v>351.5</v>
      </c>
      <c r="I96" s="17"/>
      <c r="J96" s="17"/>
      <c r="K96" s="17"/>
    </row>
    <row r="97" spans="1:11" x14ac:dyDescent="0.25">
      <c r="A97" s="16"/>
      <c r="B97" s="16"/>
      <c r="C97" s="16"/>
      <c r="D97" s="32"/>
      <c r="E97" s="49" t="s">
        <v>90</v>
      </c>
      <c r="F97" s="50">
        <v>2</v>
      </c>
      <c r="G97" s="51">
        <v>208.375</v>
      </c>
      <c r="H97" s="31">
        <f>Table1[[#This Row],[LENGTH (in.)]]*Table1[[#This Row],[QTY.]]</f>
        <v>416.75</v>
      </c>
      <c r="I97" s="17"/>
      <c r="J97" s="17"/>
      <c r="K97" s="17"/>
    </row>
    <row r="98" spans="1:11" x14ac:dyDescent="0.25">
      <c r="A98" s="16"/>
      <c r="B98" s="16"/>
      <c r="C98" s="16"/>
      <c r="D98" s="32"/>
      <c r="E98" s="49" t="s">
        <v>92</v>
      </c>
      <c r="F98" s="50">
        <v>4</v>
      </c>
      <c r="G98" s="51">
        <v>153.375</v>
      </c>
      <c r="H98" s="31">
        <f>Table1[[#This Row],[LENGTH (in.)]]*Table1[[#This Row],[QTY.]]</f>
        <v>613.5</v>
      </c>
      <c r="I98" s="17"/>
      <c r="J98" s="17"/>
      <c r="K98" s="17"/>
    </row>
    <row r="99" spans="1:11" x14ac:dyDescent="0.25">
      <c r="A99" s="16"/>
      <c r="B99" s="16"/>
      <c r="C99" s="16"/>
      <c r="D99" s="32"/>
      <c r="E99" s="49" t="s">
        <v>125</v>
      </c>
      <c r="F99" s="50">
        <v>1</v>
      </c>
      <c r="G99" s="51">
        <v>207.375</v>
      </c>
      <c r="H99" s="31">
        <f>Table1[[#This Row],[LENGTH (in.)]]*Table1[[#This Row],[QTY.]]</f>
        <v>207.375</v>
      </c>
      <c r="I99" s="17"/>
      <c r="J99" s="17"/>
      <c r="K99" s="17"/>
    </row>
    <row r="100" spans="1:11" x14ac:dyDescent="0.25">
      <c r="A100" s="16"/>
      <c r="B100" s="16"/>
      <c r="C100" s="16"/>
      <c r="D100" s="32"/>
      <c r="E100" s="49" t="s">
        <v>125</v>
      </c>
      <c r="F100" s="50">
        <v>1</v>
      </c>
      <c r="G100" s="51">
        <v>175.75</v>
      </c>
      <c r="H100" s="31">
        <f>Table1[[#This Row],[LENGTH (in.)]]*Table1[[#This Row],[QTY.]]</f>
        <v>175.75</v>
      </c>
      <c r="I100" s="17"/>
      <c r="J100" s="17"/>
      <c r="K100" s="17"/>
    </row>
    <row r="101" spans="1:11" x14ac:dyDescent="0.25">
      <c r="A101" s="16"/>
      <c r="B101" s="16"/>
      <c r="C101" s="16"/>
      <c r="D101" s="32"/>
      <c r="E101" s="49" t="s">
        <v>125</v>
      </c>
      <c r="F101" s="50">
        <v>1</v>
      </c>
      <c r="G101" s="51">
        <v>155.625</v>
      </c>
      <c r="H101" s="31">
        <f>Table1[[#This Row],[LENGTH (in.)]]*Table1[[#This Row],[QTY.]]</f>
        <v>155.625</v>
      </c>
      <c r="I101" s="17"/>
      <c r="J101" s="17"/>
      <c r="K101" s="17"/>
    </row>
    <row r="102" spans="1:11" x14ac:dyDescent="0.25">
      <c r="A102" s="16"/>
      <c r="B102" s="16"/>
      <c r="C102" s="16"/>
      <c r="D102" s="32"/>
      <c r="E102" s="49" t="s">
        <v>126</v>
      </c>
      <c r="F102" s="50">
        <v>1</v>
      </c>
      <c r="G102" s="51">
        <v>157.25</v>
      </c>
      <c r="H102" s="31">
        <f>Table1[[#This Row],[LENGTH (in.)]]*Table1[[#This Row],[QTY.]]</f>
        <v>157.25</v>
      </c>
      <c r="I102" s="17"/>
      <c r="J102" s="17"/>
      <c r="K102" s="17"/>
    </row>
    <row r="103" spans="1:11" x14ac:dyDescent="0.25">
      <c r="A103" s="16"/>
      <c r="B103" s="16"/>
      <c r="C103" s="16"/>
      <c r="D103" s="32"/>
      <c r="E103" s="49" t="s">
        <v>126</v>
      </c>
      <c r="F103" s="50">
        <v>1</v>
      </c>
      <c r="G103" s="51">
        <v>211.125</v>
      </c>
      <c r="H103" s="31">
        <f>Table1[[#This Row],[LENGTH (in.)]]*Table1[[#This Row],[QTY.]]</f>
        <v>211.125</v>
      </c>
      <c r="I103" s="17"/>
      <c r="J103" s="17"/>
      <c r="K103" s="17"/>
    </row>
    <row r="104" spans="1:11" x14ac:dyDescent="0.25">
      <c r="A104" s="16"/>
      <c r="B104" s="16"/>
      <c r="C104" s="16"/>
      <c r="D104" s="32"/>
      <c r="E104" s="49" t="s">
        <v>126</v>
      </c>
      <c r="F104" s="50">
        <v>2</v>
      </c>
      <c r="G104" s="51">
        <v>155.125</v>
      </c>
      <c r="H104" s="31">
        <f>Table1[[#This Row],[LENGTH (in.)]]*Table1[[#This Row],[QTY.]]</f>
        <v>310.25</v>
      </c>
      <c r="I104" s="17"/>
      <c r="J104" s="17"/>
      <c r="K104" s="17"/>
    </row>
    <row r="105" spans="1:11" x14ac:dyDescent="0.25">
      <c r="A105" s="16"/>
      <c r="B105" s="16"/>
      <c r="C105" s="16"/>
      <c r="D105" s="32"/>
      <c r="E105" s="49" t="s">
        <v>126</v>
      </c>
      <c r="F105" s="50">
        <v>1</v>
      </c>
      <c r="G105" s="51">
        <v>205.375</v>
      </c>
      <c r="H105" s="31">
        <f>Table1[[#This Row],[LENGTH (in.)]]*Table1[[#This Row],[QTY.]]</f>
        <v>205.375</v>
      </c>
      <c r="I105" s="17"/>
      <c r="J105" s="17"/>
      <c r="K105" s="17"/>
    </row>
    <row r="106" spans="1:11" x14ac:dyDescent="0.25">
      <c r="A106" s="16"/>
      <c r="B106" s="16"/>
      <c r="C106" s="16"/>
      <c r="D106" s="32"/>
      <c r="E106" s="49" t="s">
        <v>126</v>
      </c>
      <c r="F106" s="50">
        <v>1</v>
      </c>
      <c r="G106" s="51">
        <v>175.75</v>
      </c>
      <c r="H106" s="31">
        <f>Table1[[#This Row],[LENGTH (in.)]]*Table1[[#This Row],[QTY.]]</f>
        <v>175.75</v>
      </c>
      <c r="I106" s="17"/>
      <c r="J106" s="17"/>
      <c r="K106" s="17"/>
    </row>
    <row r="107" spans="1:11" x14ac:dyDescent="0.25">
      <c r="A107" s="16"/>
      <c r="B107" s="16"/>
      <c r="C107" s="16"/>
      <c r="D107" s="32"/>
      <c r="E107" s="49" t="s">
        <v>61</v>
      </c>
      <c r="F107" s="50">
        <v>1</v>
      </c>
      <c r="G107" s="51">
        <v>686.5</v>
      </c>
      <c r="H107" s="31">
        <f>Table1[[#This Row],[LENGTH (in.)]]*Table1[[#This Row],[QTY.]]</f>
        <v>686.5</v>
      </c>
      <c r="I107" s="17"/>
      <c r="J107" s="17"/>
      <c r="K107" s="17"/>
    </row>
    <row r="108" spans="1:11" x14ac:dyDescent="0.25">
      <c r="A108" s="16"/>
      <c r="B108" s="16"/>
      <c r="C108" s="16"/>
      <c r="D108" s="32"/>
      <c r="E108" s="49" t="s">
        <v>81</v>
      </c>
      <c r="F108" s="50">
        <v>12</v>
      </c>
      <c r="G108" s="51">
        <v>203</v>
      </c>
      <c r="H108" s="31">
        <f>Table1[[#This Row],[LENGTH (in.)]]*Table1[[#This Row],[QTY.]]</f>
        <v>2436</v>
      </c>
      <c r="I108" s="17"/>
      <c r="J108" s="17"/>
      <c r="K108" s="17"/>
    </row>
    <row r="109" spans="1:11" x14ac:dyDescent="0.25">
      <c r="A109" s="16"/>
      <c r="B109" s="16"/>
      <c r="C109" s="16"/>
      <c r="D109" s="32"/>
      <c r="E109" s="49" t="s">
        <v>81</v>
      </c>
      <c r="F109" s="50">
        <v>24</v>
      </c>
      <c r="G109" s="51">
        <v>64.5</v>
      </c>
      <c r="H109" s="31">
        <f>Table1[[#This Row],[LENGTH (in.)]]*Table1[[#This Row],[QTY.]]</f>
        <v>1548</v>
      </c>
      <c r="I109" s="17"/>
      <c r="J109" s="17"/>
      <c r="K109" s="17"/>
    </row>
    <row r="110" spans="1:11" x14ac:dyDescent="0.25">
      <c r="A110" s="16"/>
      <c r="B110" s="16"/>
      <c r="C110" s="16"/>
      <c r="D110" s="32"/>
      <c r="E110" s="49" t="s">
        <v>81</v>
      </c>
      <c r="F110" s="50">
        <v>4</v>
      </c>
      <c r="G110" s="51">
        <v>44.5</v>
      </c>
      <c r="H110" s="31">
        <f>Table1[[#This Row],[LENGTH (in.)]]*Table1[[#This Row],[QTY.]]</f>
        <v>178</v>
      </c>
      <c r="I110" s="17"/>
      <c r="J110" s="17"/>
      <c r="K110" s="17"/>
    </row>
    <row r="111" spans="1:11" x14ac:dyDescent="0.25">
      <c r="A111" s="16"/>
      <c r="B111" s="16"/>
      <c r="C111" s="16"/>
      <c r="D111" s="32"/>
      <c r="E111" s="49" t="s">
        <v>121</v>
      </c>
      <c r="F111" s="50">
        <v>2</v>
      </c>
      <c r="G111" s="51">
        <v>203</v>
      </c>
      <c r="H111" s="31">
        <f>Table1[[#This Row],[LENGTH (in.)]]*Table1[[#This Row],[QTY.]]</f>
        <v>406</v>
      </c>
      <c r="I111" s="17"/>
      <c r="J111" s="17"/>
      <c r="K111" s="17"/>
    </row>
    <row r="112" spans="1:11" x14ac:dyDescent="0.25">
      <c r="A112" s="16"/>
      <c r="B112" s="16"/>
      <c r="C112" s="16"/>
      <c r="D112" s="32"/>
      <c r="E112" s="49" t="s">
        <v>67</v>
      </c>
      <c r="F112" s="50">
        <v>1</v>
      </c>
      <c r="G112" s="51">
        <v>686.5</v>
      </c>
      <c r="H112" s="31">
        <f>Table1[[#This Row],[LENGTH (in.)]]*Table1[[#This Row],[QTY.]]</f>
        <v>686.5</v>
      </c>
      <c r="I112" s="17"/>
      <c r="J112" s="17"/>
      <c r="K112" s="17"/>
    </row>
    <row r="113" spans="1:11" x14ac:dyDescent="0.25">
      <c r="A113" s="16"/>
      <c r="B113" s="16"/>
      <c r="C113" s="16"/>
      <c r="D113" s="32"/>
      <c r="E113" s="49" t="s">
        <v>94</v>
      </c>
      <c r="F113" s="50">
        <v>2</v>
      </c>
      <c r="G113" s="51">
        <v>27.625</v>
      </c>
      <c r="H113" s="31">
        <f>Table1[[#This Row],[LENGTH (in.)]]*Table1[[#This Row],[QTY.]]</f>
        <v>55.25</v>
      </c>
      <c r="I113" s="17"/>
      <c r="J113" s="17"/>
      <c r="K113" s="17"/>
    </row>
    <row r="114" spans="1:11" x14ac:dyDescent="0.25">
      <c r="A114" s="16"/>
      <c r="B114" s="16"/>
      <c r="C114" s="16"/>
      <c r="D114" s="32"/>
      <c r="E114" s="49" t="s">
        <v>94</v>
      </c>
      <c r="F114" s="50">
        <v>2</v>
      </c>
      <c r="G114" s="51">
        <v>25.625</v>
      </c>
      <c r="H114" s="31">
        <f>Table1[[#This Row],[LENGTH (in.)]]*Table1[[#This Row],[QTY.]]</f>
        <v>51.25</v>
      </c>
      <c r="I114" s="17"/>
      <c r="J114" s="17"/>
      <c r="K114" s="17"/>
    </row>
    <row r="115" spans="1:11" x14ac:dyDescent="0.25">
      <c r="A115" s="16"/>
      <c r="B115" s="16"/>
      <c r="C115" s="16"/>
      <c r="D115" s="32"/>
      <c r="E115" s="49" t="s">
        <v>94</v>
      </c>
      <c r="F115" s="50">
        <v>18</v>
      </c>
      <c r="G115" s="51">
        <v>8</v>
      </c>
      <c r="H115" s="31">
        <f>Table1[[#This Row],[LENGTH (in.)]]*Table1[[#This Row],[QTY.]]</f>
        <v>144</v>
      </c>
      <c r="I115" s="17"/>
      <c r="J115" s="17"/>
      <c r="K115" s="17"/>
    </row>
    <row r="116" spans="1:11" x14ac:dyDescent="0.25">
      <c r="A116" s="16"/>
      <c r="B116" s="16"/>
      <c r="C116" s="16"/>
      <c r="D116" s="32"/>
      <c r="E116" s="49" t="s">
        <v>122</v>
      </c>
      <c r="F116" s="50">
        <v>6</v>
      </c>
      <c r="G116" s="51">
        <v>6</v>
      </c>
      <c r="H116" s="31">
        <f>Table1[[#This Row],[LENGTH (in.)]]*Table1[[#This Row],[QTY.]]</f>
        <v>36</v>
      </c>
      <c r="I116" s="17"/>
      <c r="J116" s="17"/>
      <c r="K116" s="17"/>
    </row>
    <row r="117" spans="1:11" x14ac:dyDescent="0.25">
      <c r="A117" s="16"/>
      <c r="B117" s="16"/>
      <c r="C117" s="16"/>
      <c r="D117" s="32"/>
      <c r="E117" s="49" t="s">
        <v>123</v>
      </c>
      <c r="F117" s="50">
        <v>2</v>
      </c>
      <c r="G117" s="51">
        <v>9</v>
      </c>
      <c r="H117" s="31">
        <f>Table1[[#This Row],[LENGTH (in.)]]*Table1[[#This Row],[QTY.]]</f>
        <v>18</v>
      </c>
      <c r="I117" s="17"/>
      <c r="J117" s="17"/>
      <c r="K117" s="17"/>
    </row>
    <row r="118" spans="1:11" x14ac:dyDescent="0.25">
      <c r="A118" s="16"/>
      <c r="B118" s="16"/>
      <c r="C118" s="16"/>
      <c r="D118" s="32"/>
      <c r="E118" s="49" t="s">
        <v>120</v>
      </c>
      <c r="F118" s="50">
        <v>1</v>
      </c>
      <c r="G118" s="51">
        <v>686.5</v>
      </c>
      <c r="H118" s="31">
        <f>Table1[[#This Row],[LENGTH (in.)]]*Table1[[#This Row],[QTY.]]</f>
        <v>686.5</v>
      </c>
      <c r="I118" s="17"/>
      <c r="J118" s="17"/>
      <c r="K118" s="17"/>
    </row>
    <row r="119" spans="1:11" x14ac:dyDescent="0.25">
      <c r="A119" s="16"/>
      <c r="B119" s="16"/>
      <c r="C119" s="16"/>
      <c r="D119" s="32"/>
      <c r="E119" s="49" t="s">
        <v>126</v>
      </c>
      <c r="F119" s="50">
        <v>1</v>
      </c>
      <c r="G119" s="51">
        <v>211.125</v>
      </c>
      <c r="H119" s="31">
        <f>Table1[[#This Row],[LENGTH (in.)]]*Table1[[#This Row],[QTY.]]</f>
        <v>211.125</v>
      </c>
      <c r="I119" s="17"/>
      <c r="J119" s="17"/>
      <c r="K119" s="17"/>
    </row>
    <row r="120" spans="1:11" x14ac:dyDescent="0.25">
      <c r="A120" s="16"/>
      <c r="B120" s="16"/>
      <c r="C120" s="16"/>
      <c r="D120" s="32"/>
      <c r="E120" s="49" t="s">
        <v>126</v>
      </c>
      <c r="F120" s="50">
        <v>1</v>
      </c>
      <c r="G120" s="51">
        <v>157.25</v>
      </c>
      <c r="H120" s="31">
        <f>Table1[[#This Row],[LENGTH (in.)]]*Table1[[#This Row],[QTY.]]</f>
        <v>157.25</v>
      </c>
      <c r="I120" s="17"/>
      <c r="J120" s="17"/>
      <c r="K120" s="17"/>
    </row>
    <row r="121" spans="1:11" x14ac:dyDescent="0.25">
      <c r="A121" s="16"/>
      <c r="B121" s="16"/>
      <c r="C121" s="16"/>
      <c r="D121" s="32"/>
      <c r="E121" s="49" t="s">
        <v>126</v>
      </c>
      <c r="F121" s="50">
        <v>1</v>
      </c>
      <c r="G121" s="51">
        <v>205.375</v>
      </c>
      <c r="H121" s="31">
        <f>Table1[[#This Row],[LENGTH (in.)]]*Table1[[#This Row],[QTY.]]</f>
        <v>205.375</v>
      </c>
      <c r="I121" s="17"/>
      <c r="J121" s="17"/>
      <c r="K121" s="17"/>
    </row>
    <row r="122" spans="1:11" x14ac:dyDescent="0.25">
      <c r="A122" s="16"/>
      <c r="B122" s="16"/>
      <c r="C122" s="16"/>
      <c r="D122" s="32"/>
      <c r="E122" s="49" t="s">
        <v>126</v>
      </c>
      <c r="F122" s="50">
        <v>1</v>
      </c>
      <c r="G122" s="51">
        <v>175.75</v>
      </c>
      <c r="H122" s="31">
        <f>Table1[[#This Row],[LENGTH (in.)]]*Table1[[#This Row],[QTY.]]</f>
        <v>175.75</v>
      </c>
      <c r="I122" s="17"/>
      <c r="J122" s="17"/>
      <c r="K122" s="17"/>
    </row>
    <row r="123" spans="1:11" x14ac:dyDescent="0.25">
      <c r="A123" s="16"/>
      <c r="B123" s="16"/>
      <c r="C123" s="16"/>
      <c r="D123" s="32"/>
      <c r="E123" s="49" t="s">
        <v>126</v>
      </c>
      <c r="F123" s="50">
        <v>2</v>
      </c>
      <c r="G123" s="51">
        <v>155.125</v>
      </c>
      <c r="H123" s="31">
        <f>Table1[[#This Row],[LENGTH (in.)]]*Table1[[#This Row],[QTY.]]</f>
        <v>310.25</v>
      </c>
      <c r="I123" s="17"/>
      <c r="J123" s="17"/>
      <c r="K123" s="17"/>
    </row>
    <row r="124" spans="1:11" x14ac:dyDescent="0.25">
      <c r="A124" s="16"/>
      <c r="B124" s="16"/>
      <c r="C124" s="16"/>
      <c r="D124" s="32"/>
      <c r="E124" s="49" t="s">
        <v>125</v>
      </c>
      <c r="F124" s="50">
        <v>1</v>
      </c>
      <c r="G124" s="51">
        <v>155.625</v>
      </c>
      <c r="H124" s="31">
        <f>Table1[[#This Row],[LENGTH (in.)]]*Table1[[#This Row],[QTY.]]</f>
        <v>155.625</v>
      </c>
      <c r="I124" s="17"/>
      <c r="J124" s="17"/>
      <c r="K124" s="17"/>
    </row>
    <row r="125" spans="1:11" x14ac:dyDescent="0.25">
      <c r="A125" s="16"/>
      <c r="B125" s="16"/>
      <c r="C125" s="16"/>
      <c r="D125" s="32"/>
      <c r="E125" s="49" t="s">
        <v>125</v>
      </c>
      <c r="F125" s="50">
        <v>1</v>
      </c>
      <c r="G125" s="51">
        <v>207.375</v>
      </c>
      <c r="H125" s="31">
        <f>Table1[[#This Row],[LENGTH (in.)]]*Table1[[#This Row],[QTY.]]</f>
        <v>207.375</v>
      </c>
      <c r="I125" s="17"/>
      <c r="J125" s="17"/>
      <c r="K125" s="17"/>
    </row>
    <row r="126" spans="1:11" x14ac:dyDescent="0.25">
      <c r="A126" s="16"/>
      <c r="B126" s="16"/>
      <c r="C126" s="16"/>
      <c r="D126" s="32"/>
      <c r="E126" s="49" t="s">
        <v>125</v>
      </c>
      <c r="F126" s="50">
        <v>1</v>
      </c>
      <c r="G126" s="51">
        <v>175.75</v>
      </c>
      <c r="H126" s="31">
        <f>Table1[[#This Row],[LENGTH (in.)]]*Table1[[#This Row],[QTY.]]</f>
        <v>175.75</v>
      </c>
      <c r="I126" s="17"/>
      <c r="J126" s="17"/>
      <c r="K126" s="17"/>
    </row>
    <row r="127" spans="1:11" x14ac:dyDescent="0.25">
      <c r="A127" s="16"/>
      <c r="B127" s="16"/>
      <c r="C127" s="16"/>
      <c r="D127" s="32"/>
      <c r="E127" s="49" t="s">
        <v>92</v>
      </c>
      <c r="F127" s="50">
        <v>6</v>
      </c>
      <c r="G127" s="51">
        <v>153.375</v>
      </c>
      <c r="H127" s="31">
        <f>Table1[[#This Row],[LENGTH (in.)]]*Table1[[#This Row],[QTY.]]</f>
        <v>920.25</v>
      </c>
      <c r="I127" s="17"/>
      <c r="J127" s="17"/>
      <c r="K127" s="17"/>
    </row>
    <row r="128" spans="1:11" x14ac:dyDescent="0.25">
      <c r="A128" s="16"/>
      <c r="B128" s="16"/>
      <c r="C128" s="16"/>
      <c r="D128" s="32"/>
      <c r="E128" s="49" t="s">
        <v>90</v>
      </c>
      <c r="F128" s="50">
        <v>2</v>
      </c>
      <c r="G128" s="51">
        <v>208.375</v>
      </c>
      <c r="H128" s="31">
        <f>Table1[[#This Row],[LENGTH (in.)]]*Table1[[#This Row],[QTY.]]</f>
        <v>416.75</v>
      </c>
      <c r="I128" s="17"/>
      <c r="J128" s="17"/>
      <c r="K128" s="17"/>
    </row>
    <row r="129" spans="1:11" x14ac:dyDescent="0.25">
      <c r="A129" s="16"/>
      <c r="B129" s="16"/>
      <c r="C129" s="16"/>
      <c r="D129" s="32"/>
      <c r="E129" s="49" t="s">
        <v>90</v>
      </c>
      <c r="F129" s="50">
        <v>2</v>
      </c>
      <c r="G129" s="51">
        <v>175.75</v>
      </c>
      <c r="H129" s="31">
        <f>Table1[[#This Row],[LENGTH (in.)]]*Table1[[#This Row],[QTY.]]</f>
        <v>351.5</v>
      </c>
      <c r="I129" s="17"/>
      <c r="J129" s="17"/>
      <c r="K129" s="17"/>
    </row>
    <row r="130" spans="1:11" x14ac:dyDescent="0.25">
      <c r="A130" s="16"/>
      <c r="B130" s="16"/>
      <c r="C130" s="16"/>
      <c r="D130" s="32"/>
      <c r="E130" s="49" t="s">
        <v>61</v>
      </c>
      <c r="F130" s="50">
        <v>1</v>
      </c>
      <c r="G130" s="51">
        <v>678.5</v>
      </c>
      <c r="H130" s="31">
        <f>Table1[[#This Row],[LENGTH (in.)]]*Table1[[#This Row],[QTY.]]</f>
        <v>678.5</v>
      </c>
      <c r="I130" s="17"/>
      <c r="J130" s="17"/>
      <c r="K130" s="17"/>
    </row>
    <row r="131" spans="1:11" x14ac:dyDescent="0.25">
      <c r="A131" s="16"/>
      <c r="B131" s="16"/>
      <c r="C131" s="16"/>
      <c r="D131" s="32"/>
      <c r="E131" s="49" t="s">
        <v>120</v>
      </c>
      <c r="F131" s="50">
        <v>2</v>
      </c>
      <c r="G131" s="51">
        <v>203</v>
      </c>
      <c r="H131" s="31">
        <f>Table1[[#This Row],[LENGTH (in.)]]*Table1[[#This Row],[QTY.]]</f>
        <v>406</v>
      </c>
      <c r="I131" s="17"/>
      <c r="J131" s="17"/>
      <c r="K131" s="17"/>
    </row>
    <row r="132" spans="1:11" x14ac:dyDescent="0.25">
      <c r="A132" s="16"/>
      <c r="B132" s="16"/>
      <c r="C132" s="16"/>
      <c r="D132" s="32"/>
      <c r="E132" s="49" t="s">
        <v>81</v>
      </c>
      <c r="F132" s="50">
        <v>9</v>
      </c>
      <c r="G132" s="51">
        <v>203</v>
      </c>
      <c r="H132" s="31">
        <f>Table1[[#This Row],[LENGTH (in.)]]*Table1[[#This Row],[QTY.]]</f>
        <v>1827</v>
      </c>
      <c r="I132" s="17"/>
      <c r="J132" s="17"/>
      <c r="K132" s="17"/>
    </row>
    <row r="133" spans="1:11" x14ac:dyDescent="0.25">
      <c r="A133" s="16"/>
      <c r="B133" s="16"/>
      <c r="C133" s="16"/>
      <c r="D133" s="32"/>
      <c r="E133" s="49" t="s">
        <v>81</v>
      </c>
      <c r="F133" s="50">
        <v>1</v>
      </c>
      <c r="G133" s="51">
        <v>131.25</v>
      </c>
      <c r="H133" s="31">
        <f>Table1[[#This Row],[LENGTH (in.)]]*Table1[[#This Row],[QTY.]]</f>
        <v>131.25</v>
      </c>
      <c r="I133" s="17"/>
      <c r="J133" s="17"/>
      <c r="K133" s="17"/>
    </row>
    <row r="134" spans="1:11" x14ac:dyDescent="0.25">
      <c r="A134" s="16"/>
      <c r="B134" s="16"/>
      <c r="C134" s="16"/>
      <c r="D134" s="32"/>
      <c r="E134" s="49" t="s">
        <v>81</v>
      </c>
      <c r="F134" s="50">
        <v>3</v>
      </c>
      <c r="G134" s="51">
        <v>112.25</v>
      </c>
      <c r="H134" s="31">
        <f>Table1[[#This Row],[LENGTH (in.)]]*Table1[[#This Row],[QTY.]]</f>
        <v>336.75</v>
      </c>
      <c r="I134" s="17"/>
      <c r="J134" s="17"/>
      <c r="K134" s="17"/>
    </row>
    <row r="135" spans="1:11" x14ac:dyDescent="0.25">
      <c r="A135" s="16"/>
      <c r="B135" s="16"/>
      <c r="C135" s="16"/>
      <c r="D135" s="32"/>
      <c r="E135" s="49" t="s">
        <v>81</v>
      </c>
      <c r="F135" s="50">
        <v>3</v>
      </c>
      <c r="G135" s="51">
        <v>112</v>
      </c>
      <c r="H135" s="31">
        <f>Table1[[#This Row],[LENGTH (in.)]]*Table1[[#This Row],[QTY.]]</f>
        <v>336</v>
      </c>
      <c r="I135" s="17"/>
      <c r="J135" s="17"/>
      <c r="K135" s="17"/>
    </row>
    <row r="136" spans="1:11" x14ac:dyDescent="0.25">
      <c r="A136" s="16"/>
      <c r="B136" s="16"/>
      <c r="C136" s="16"/>
      <c r="D136" s="32"/>
      <c r="E136" s="49" t="s">
        <v>81</v>
      </c>
      <c r="F136" s="50">
        <v>3</v>
      </c>
      <c r="G136" s="51">
        <v>92.5</v>
      </c>
      <c r="H136" s="31">
        <f>Table1[[#This Row],[LENGTH (in.)]]*Table1[[#This Row],[QTY.]]</f>
        <v>277.5</v>
      </c>
      <c r="I136" s="17"/>
      <c r="J136" s="17"/>
      <c r="K136" s="17"/>
    </row>
    <row r="137" spans="1:11" x14ac:dyDescent="0.25">
      <c r="A137" s="16"/>
      <c r="B137" s="16"/>
      <c r="C137" s="16"/>
      <c r="D137" s="32"/>
      <c r="E137" s="49" t="s">
        <v>81</v>
      </c>
      <c r="F137" s="50">
        <v>3</v>
      </c>
      <c r="G137" s="51">
        <v>72</v>
      </c>
      <c r="H137" s="31">
        <f>Table1[[#This Row],[LENGTH (in.)]]*Table1[[#This Row],[QTY.]]</f>
        <v>216</v>
      </c>
      <c r="I137" s="17"/>
      <c r="J137" s="17"/>
      <c r="K137" s="17"/>
    </row>
    <row r="138" spans="1:11" x14ac:dyDescent="0.25">
      <c r="A138" s="16"/>
      <c r="B138" s="16"/>
      <c r="C138" s="16"/>
      <c r="D138" s="32"/>
      <c r="E138" s="49" t="s">
        <v>81</v>
      </c>
      <c r="F138" s="50">
        <v>3</v>
      </c>
      <c r="G138" s="51">
        <v>59.25</v>
      </c>
      <c r="H138" s="31">
        <f>Table1[[#This Row],[LENGTH (in.)]]*Table1[[#This Row],[QTY.]]</f>
        <v>177.75</v>
      </c>
      <c r="I138" s="17"/>
      <c r="J138" s="17"/>
      <c r="K138" s="17"/>
    </row>
    <row r="139" spans="1:11" x14ac:dyDescent="0.25">
      <c r="A139" s="16"/>
      <c r="B139" s="16"/>
      <c r="C139" s="16"/>
      <c r="D139" s="32"/>
      <c r="E139" s="49" t="s">
        <v>82</v>
      </c>
      <c r="F139" s="50">
        <v>2</v>
      </c>
      <c r="G139" s="51">
        <v>203</v>
      </c>
      <c r="H139" s="31">
        <f>Table1[[#This Row],[LENGTH (in.)]]*Table1[[#This Row],[QTY.]]</f>
        <v>406</v>
      </c>
      <c r="I139" s="17"/>
      <c r="J139" s="17"/>
      <c r="K139" s="17"/>
    </row>
    <row r="140" spans="1:11" x14ac:dyDescent="0.25">
      <c r="A140" s="16"/>
      <c r="B140" s="16"/>
      <c r="C140" s="16"/>
      <c r="D140" s="32"/>
      <c r="E140" s="49" t="s">
        <v>82</v>
      </c>
      <c r="F140" s="50">
        <v>4</v>
      </c>
      <c r="G140" s="51">
        <v>112</v>
      </c>
      <c r="H140" s="31">
        <f>Table1[[#This Row],[LENGTH (in.)]]*Table1[[#This Row],[QTY.]]</f>
        <v>448</v>
      </c>
      <c r="I140" s="17"/>
      <c r="J140" s="17"/>
      <c r="K140" s="17"/>
    </row>
    <row r="141" spans="1:11" x14ac:dyDescent="0.25">
      <c r="A141" s="16"/>
      <c r="B141" s="16"/>
      <c r="C141" s="16"/>
      <c r="D141" s="32"/>
      <c r="E141" s="49" t="s">
        <v>82</v>
      </c>
      <c r="F141" s="50">
        <v>4</v>
      </c>
      <c r="G141" s="51">
        <v>92.5</v>
      </c>
      <c r="H141" s="31">
        <f>Table1[[#This Row],[LENGTH (in.)]]*Table1[[#This Row],[QTY.]]</f>
        <v>370</v>
      </c>
      <c r="I141" s="17"/>
      <c r="J141" s="17"/>
      <c r="K141" s="17"/>
    </row>
    <row r="142" spans="1:11" x14ac:dyDescent="0.25">
      <c r="A142" s="16"/>
      <c r="B142" s="16"/>
      <c r="C142" s="16"/>
      <c r="D142" s="32"/>
      <c r="E142" s="49" t="s">
        <v>82</v>
      </c>
      <c r="F142" s="50">
        <v>4</v>
      </c>
      <c r="G142" s="51">
        <v>72</v>
      </c>
      <c r="H142" s="31">
        <f>Table1[[#This Row],[LENGTH (in.)]]*Table1[[#This Row],[QTY.]]</f>
        <v>288</v>
      </c>
      <c r="I142" s="17"/>
      <c r="J142" s="17"/>
      <c r="K142" s="17"/>
    </row>
    <row r="143" spans="1:11" x14ac:dyDescent="0.25">
      <c r="A143" s="16"/>
      <c r="B143" s="16"/>
      <c r="C143" s="16"/>
      <c r="D143" s="32"/>
      <c r="E143" s="49" t="s">
        <v>82</v>
      </c>
      <c r="F143" s="50">
        <v>4</v>
      </c>
      <c r="G143" s="51">
        <v>65.25</v>
      </c>
      <c r="H143" s="31">
        <f>Table1[[#This Row],[LENGTH (in.)]]*Table1[[#This Row],[QTY.]]</f>
        <v>261</v>
      </c>
      <c r="I143" s="17"/>
      <c r="J143" s="17"/>
      <c r="K143" s="17"/>
    </row>
    <row r="144" spans="1:11" x14ac:dyDescent="0.25">
      <c r="A144" s="16"/>
      <c r="B144" s="16"/>
      <c r="C144" s="16"/>
      <c r="D144" s="32"/>
      <c r="E144" s="49" t="s">
        <v>82</v>
      </c>
      <c r="F144" s="50">
        <v>4</v>
      </c>
      <c r="G144" s="51">
        <v>59.25</v>
      </c>
      <c r="H144" s="31">
        <f>Table1[[#This Row],[LENGTH (in.)]]*Table1[[#This Row],[QTY.]]</f>
        <v>237</v>
      </c>
      <c r="I144" s="17"/>
      <c r="J144" s="17"/>
      <c r="K144" s="17"/>
    </row>
    <row r="145" spans="1:11" x14ac:dyDescent="0.25">
      <c r="A145" s="16"/>
      <c r="B145" s="16"/>
      <c r="C145" s="16"/>
      <c r="D145" s="32"/>
      <c r="E145" s="49" t="s">
        <v>82</v>
      </c>
      <c r="F145" s="50">
        <v>1</v>
      </c>
      <c r="G145" s="51">
        <v>51.25</v>
      </c>
      <c r="H145" s="31">
        <f>Table1[[#This Row],[LENGTH (in.)]]*Table1[[#This Row],[QTY.]]</f>
        <v>51.25</v>
      </c>
      <c r="I145" s="17"/>
      <c r="J145" s="17"/>
      <c r="K145" s="17"/>
    </row>
    <row r="146" spans="1:11" x14ac:dyDescent="0.25">
      <c r="A146" s="16"/>
      <c r="B146" s="16"/>
      <c r="C146" s="16"/>
      <c r="D146" s="32"/>
      <c r="E146" s="49" t="s">
        <v>82</v>
      </c>
      <c r="F146" s="50">
        <v>4</v>
      </c>
      <c r="G146" s="51">
        <v>39.5</v>
      </c>
      <c r="H146" s="31">
        <f>Table1[[#This Row],[LENGTH (in.)]]*Table1[[#This Row],[QTY.]]</f>
        <v>158</v>
      </c>
      <c r="I146" s="17"/>
      <c r="J146" s="17"/>
      <c r="K146" s="17"/>
    </row>
    <row r="147" spans="1:11" x14ac:dyDescent="0.25">
      <c r="A147" s="16"/>
      <c r="B147" s="16"/>
      <c r="C147" s="16"/>
      <c r="D147" s="32"/>
      <c r="E147" s="49" t="s">
        <v>121</v>
      </c>
      <c r="F147" s="50">
        <v>1</v>
      </c>
      <c r="G147" s="51">
        <v>203</v>
      </c>
      <c r="H147" s="31">
        <f>Table1[[#This Row],[LENGTH (in.)]]*Table1[[#This Row],[QTY.]]</f>
        <v>203</v>
      </c>
      <c r="I147" s="17"/>
      <c r="J147" s="17"/>
      <c r="K147" s="17"/>
    </row>
    <row r="148" spans="1:11" x14ac:dyDescent="0.25">
      <c r="A148" s="16"/>
      <c r="B148" s="16"/>
      <c r="C148" s="16"/>
      <c r="D148" s="32"/>
      <c r="E148" s="49" t="s">
        <v>121</v>
      </c>
      <c r="F148" s="50">
        <v>1</v>
      </c>
      <c r="G148" s="51">
        <v>203</v>
      </c>
      <c r="H148" s="31">
        <f>Table1[[#This Row],[LENGTH (in.)]]*Table1[[#This Row],[QTY.]]</f>
        <v>203</v>
      </c>
      <c r="I148" s="17"/>
      <c r="J148" s="17"/>
      <c r="K148" s="17"/>
    </row>
    <row r="149" spans="1:11" x14ac:dyDescent="0.25">
      <c r="A149" s="16"/>
      <c r="B149" s="16"/>
      <c r="C149" s="16"/>
      <c r="D149" s="32"/>
      <c r="E149" s="49" t="s">
        <v>67</v>
      </c>
      <c r="F149" s="50">
        <v>1</v>
      </c>
      <c r="G149" s="51">
        <v>678.5</v>
      </c>
      <c r="H149" s="31">
        <f>Table1[[#This Row],[LENGTH (in.)]]*Table1[[#This Row],[QTY.]]</f>
        <v>678.5</v>
      </c>
      <c r="I149" s="17"/>
      <c r="J149" s="17"/>
      <c r="K149" s="17"/>
    </row>
    <row r="150" spans="1:11" x14ac:dyDescent="0.25">
      <c r="A150" s="16"/>
      <c r="B150" s="16"/>
      <c r="C150" s="16"/>
      <c r="D150" s="32"/>
      <c r="E150" s="49" t="s">
        <v>94</v>
      </c>
      <c r="F150" s="50">
        <v>2</v>
      </c>
      <c r="G150" s="51">
        <v>26.125</v>
      </c>
      <c r="H150" s="31">
        <f>Table1[[#This Row],[LENGTH (in.)]]*Table1[[#This Row],[QTY.]]</f>
        <v>52.25</v>
      </c>
      <c r="I150" s="17"/>
      <c r="J150" s="17"/>
      <c r="K150" s="17"/>
    </row>
    <row r="151" spans="1:11" x14ac:dyDescent="0.25">
      <c r="A151" s="16"/>
      <c r="B151" s="16"/>
      <c r="C151" s="16"/>
      <c r="D151" s="32"/>
      <c r="E151" s="49" t="s">
        <v>94</v>
      </c>
      <c r="F151" s="50">
        <v>2</v>
      </c>
      <c r="G151" s="51">
        <v>17.125</v>
      </c>
      <c r="H151" s="31">
        <f>Table1[[#This Row],[LENGTH (in.)]]*Table1[[#This Row],[QTY.]]</f>
        <v>34.25</v>
      </c>
      <c r="I151" s="17"/>
      <c r="J151" s="17"/>
      <c r="K151" s="17"/>
    </row>
    <row r="152" spans="1:11" x14ac:dyDescent="0.25">
      <c r="A152" s="16"/>
      <c r="B152" s="16"/>
      <c r="C152" s="16"/>
      <c r="D152" s="32"/>
      <c r="E152" s="49" t="s">
        <v>94</v>
      </c>
      <c r="F152" s="50">
        <v>18</v>
      </c>
      <c r="G152" s="51">
        <v>8</v>
      </c>
      <c r="H152" s="31">
        <f>Table1[[#This Row],[LENGTH (in.)]]*Table1[[#This Row],[QTY.]]</f>
        <v>144</v>
      </c>
      <c r="I152" s="17"/>
      <c r="J152" s="17"/>
      <c r="K152" s="17"/>
    </row>
    <row r="153" spans="1:11" x14ac:dyDescent="0.25">
      <c r="A153" s="16"/>
      <c r="B153" s="16"/>
      <c r="C153" s="16"/>
      <c r="D153" s="32"/>
      <c r="E153" s="49" t="s">
        <v>122</v>
      </c>
      <c r="F153" s="50">
        <v>6</v>
      </c>
      <c r="G153" s="51">
        <v>6</v>
      </c>
      <c r="H153" s="31">
        <f>Table1[[#This Row],[LENGTH (in.)]]*Table1[[#This Row],[QTY.]]</f>
        <v>36</v>
      </c>
      <c r="I153" s="17"/>
      <c r="J153" s="17"/>
      <c r="K153" s="17"/>
    </row>
    <row r="154" spans="1:11" x14ac:dyDescent="0.25">
      <c r="A154" s="16"/>
      <c r="B154" s="16"/>
      <c r="C154" s="16"/>
      <c r="D154" s="32"/>
      <c r="E154" s="49" t="s">
        <v>123</v>
      </c>
      <c r="F154" s="50">
        <v>2</v>
      </c>
      <c r="G154" s="51">
        <v>9</v>
      </c>
      <c r="H154" s="31">
        <f>Table1[[#This Row],[LENGTH (in.)]]*Table1[[#This Row],[QTY.]]</f>
        <v>18</v>
      </c>
      <c r="I154" s="17"/>
      <c r="J154" s="17"/>
      <c r="K154" s="17"/>
    </row>
    <row r="155" spans="1:11" x14ac:dyDescent="0.25">
      <c r="A155" s="16"/>
      <c r="B155" s="16"/>
      <c r="C155" s="16"/>
      <c r="D155" s="32"/>
      <c r="E155" s="49" t="s">
        <v>120</v>
      </c>
      <c r="F155" s="50">
        <v>1</v>
      </c>
      <c r="G155" s="51">
        <v>678.5</v>
      </c>
      <c r="H155" s="31">
        <f>Table1[[#This Row],[LENGTH (in.)]]*Table1[[#This Row],[QTY.]]</f>
        <v>678.5</v>
      </c>
      <c r="I155" s="17"/>
      <c r="J155" s="17"/>
      <c r="K155" s="17"/>
    </row>
    <row r="156" spans="1:11" x14ac:dyDescent="0.25">
      <c r="A156" s="16"/>
      <c r="B156" s="16"/>
      <c r="C156" s="16"/>
      <c r="D156" s="32"/>
      <c r="E156" s="49" t="s">
        <v>124</v>
      </c>
      <c r="F156" s="50">
        <v>3</v>
      </c>
      <c r="G156" s="51">
        <v>160.25</v>
      </c>
      <c r="H156" s="31">
        <f>Table1[[#This Row],[LENGTH (in.)]]*Table1[[#This Row],[QTY.]]</f>
        <v>480.75</v>
      </c>
      <c r="I156" s="17"/>
      <c r="J156" s="17"/>
      <c r="K156" s="17"/>
    </row>
    <row r="157" spans="1:11" x14ac:dyDescent="0.25">
      <c r="A157" s="16"/>
      <c r="B157" s="16"/>
      <c r="C157" s="16"/>
      <c r="D157" s="32"/>
      <c r="E157" s="49" t="s">
        <v>90</v>
      </c>
      <c r="F157" s="50">
        <v>2</v>
      </c>
      <c r="G157" s="51">
        <v>8</v>
      </c>
      <c r="H157" s="31">
        <f>Table1[[#This Row],[LENGTH (in.)]]*Table1[[#This Row],[QTY.]]</f>
        <v>16</v>
      </c>
      <c r="I157" s="17"/>
      <c r="J157" s="17"/>
      <c r="K157" s="17"/>
    </row>
    <row r="158" spans="1:11" x14ac:dyDescent="0.25">
      <c r="A158" s="16"/>
      <c r="B158" s="16"/>
      <c r="C158" s="16"/>
      <c r="D158" s="32"/>
      <c r="E158" s="49" t="s">
        <v>90</v>
      </c>
      <c r="F158" s="50">
        <v>1</v>
      </c>
      <c r="G158" s="51">
        <v>77.125</v>
      </c>
      <c r="H158" s="31">
        <f>Table1[[#This Row],[LENGTH (in.)]]*Table1[[#This Row],[QTY.]]</f>
        <v>77.125</v>
      </c>
      <c r="I158" s="17"/>
      <c r="J158" s="17"/>
      <c r="K158" s="17"/>
    </row>
    <row r="159" spans="1:11" x14ac:dyDescent="0.25">
      <c r="A159" s="16"/>
      <c r="B159" s="16"/>
      <c r="C159" s="16"/>
      <c r="D159" s="32"/>
      <c r="E159" s="49" t="s">
        <v>90</v>
      </c>
      <c r="F159" s="50">
        <v>1</v>
      </c>
      <c r="G159" s="51">
        <v>121.125</v>
      </c>
      <c r="H159" s="31">
        <f>Table1[[#This Row],[LENGTH (in.)]]*Table1[[#This Row],[QTY.]]</f>
        <v>121.125</v>
      </c>
      <c r="I159" s="17"/>
      <c r="J159" s="17"/>
      <c r="K159" s="17"/>
    </row>
    <row r="160" spans="1:11" x14ac:dyDescent="0.25">
      <c r="A160" s="16"/>
      <c r="B160" s="16"/>
      <c r="C160" s="16"/>
      <c r="D160" s="32"/>
      <c r="E160" s="49" t="s">
        <v>90</v>
      </c>
      <c r="F160" s="50">
        <v>1</v>
      </c>
      <c r="G160" s="51">
        <v>63.125</v>
      </c>
      <c r="H160" s="31">
        <f>Table1[[#This Row],[LENGTH (in.)]]*Table1[[#This Row],[QTY.]]</f>
        <v>63.125</v>
      </c>
      <c r="I160" s="17"/>
      <c r="J160" s="17"/>
      <c r="K160" s="17"/>
    </row>
    <row r="161" spans="1:11" x14ac:dyDescent="0.25">
      <c r="A161" s="16"/>
      <c r="B161" s="16"/>
      <c r="C161" s="16"/>
      <c r="D161" s="32"/>
      <c r="E161" s="49" t="s">
        <v>90</v>
      </c>
      <c r="F161" s="50">
        <v>1</v>
      </c>
      <c r="G161" s="51">
        <v>86</v>
      </c>
      <c r="H161" s="31">
        <f>Table1[[#This Row],[LENGTH (in.)]]*Table1[[#This Row],[QTY.]]</f>
        <v>86</v>
      </c>
      <c r="I161" s="17"/>
      <c r="J161" s="17"/>
      <c r="K161" s="17"/>
    </row>
    <row r="162" spans="1:11" x14ac:dyDescent="0.25">
      <c r="A162" s="16"/>
      <c r="B162" s="16"/>
      <c r="C162" s="16"/>
      <c r="D162" s="32"/>
      <c r="E162" s="49" t="s">
        <v>90</v>
      </c>
      <c r="F162" s="50">
        <v>3</v>
      </c>
      <c r="G162" s="51">
        <v>160.25</v>
      </c>
      <c r="H162" s="31">
        <f>Table1[[#This Row],[LENGTH (in.)]]*Table1[[#This Row],[QTY.]]</f>
        <v>480.75</v>
      </c>
      <c r="I162" s="17"/>
      <c r="J162" s="17"/>
      <c r="K162" s="17"/>
    </row>
    <row r="163" spans="1:11" x14ac:dyDescent="0.25">
      <c r="A163" s="16"/>
      <c r="B163" s="16"/>
      <c r="C163" s="16"/>
      <c r="D163" s="32"/>
      <c r="E163" s="49" t="s">
        <v>90</v>
      </c>
      <c r="F163" s="50">
        <v>1</v>
      </c>
      <c r="G163" s="51">
        <v>259.75</v>
      </c>
      <c r="H163" s="31">
        <f>Table1[[#This Row],[LENGTH (in.)]]*Table1[[#This Row],[QTY.]]</f>
        <v>259.75</v>
      </c>
      <c r="I163" s="17"/>
      <c r="J163" s="17"/>
      <c r="K163" s="17"/>
    </row>
    <row r="164" spans="1:11" x14ac:dyDescent="0.25">
      <c r="A164" s="16"/>
      <c r="B164" s="16"/>
      <c r="C164" s="16"/>
      <c r="D164" s="32"/>
      <c r="E164" s="49" t="s">
        <v>90</v>
      </c>
      <c r="F164" s="50">
        <v>1</v>
      </c>
      <c r="G164" s="51">
        <v>103.875</v>
      </c>
      <c r="H164" s="31">
        <f>Table1[[#This Row],[LENGTH (in.)]]*Table1[[#This Row],[QTY.]]</f>
        <v>103.875</v>
      </c>
      <c r="I164" s="17"/>
      <c r="J164" s="17"/>
      <c r="K164" s="17"/>
    </row>
    <row r="165" spans="1:11" x14ac:dyDescent="0.25">
      <c r="A165" s="16"/>
      <c r="B165" s="16"/>
      <c r="C165" s="16"/>
      <c r="D165" s="32"/>
      <c r="E165" s="49" t="s">
        <v>90</v>
      </c>
      <c r="F165" s="50">
        <v>1</v>
      </c>
      <c r="G165" s="51">
        <v>228</v>
      </c>
      <c r="H165" s="31">
        <f>Table1[[#This Row],[LENGTH (in.)]]*Table1[[#This Row],[QTY.]]</f>
        <v>228</v>
      </c>
      <c r="I165" s="17"/>
      <c r="J165" s="17"/>
      <c r="K165" s="17"/>
    </row>
    <row r="166" spans="1:11" x14ac:dyDescent="0.25">
      <c r="A166" s="16"/>
      <c r="B166" s="16"/>
      <c r="C166" s="16"/>
      <c r="D166" s="32"/>
      <c r="E166" s="49" t="s">
        <v>92</v>
      </c>
      <c r="F166" s="50">
        <v>5</v>
      </c>
      <c r="G166" s="51">
        <v>153.375</v>
      </c>
      <c r="H166" s="31">
        <f>Table1[[#This Row],[LENGTH (in.)]]*Table1[[#This Row],[QTY.]]</f>
        <v>766.875</v>
      </c>
      <c r="I166" s="17"/>
      <c r="J166" s="17"/>
      <c r="K166" s="17"/>
    </row>
    <row r="167" spans="1:11" x14ac:dyDescent="0.25">
      <c r="A167" s="16"/>
      <c r="B167" s="16"/>
      <c r="C167" s="16"/>
      <c r="D167" s="32"/>
      <c r="E167" s="49" t="s">
        <v>125</v>
      </c>
      <c r="F167" s="50">
        <v>1</v>
      </c>
      <c r="G167" s="51">
        <v>207.375</v>
      </c>
      <c r="H167" s="31">
        <f>Table1[[#This Row],[LENGTH (in.)]]*Table1[[#This Row],[QTY.]]</f>
        <v>207.375</v>
      </c>
      <c r="I167" s="17"/>
      <c r="J167" s="17"/>
      <c r="K167" s="17"/>
    </row>
    <row r="168" spans="1:11" x14ac:dyDescent="0.25">
      <c r="A168" s="16"/>
      <c r="B168" s="16"/>
      <c r="C168" s="16"/>
      <c r="D168" s="32"/>
      <c r="E168" s="49" t="s">
        <v>125</v>
      </c>
      <c r="F168" s="50">
        <v>1</v>
      </c>
      <c r="G168" s="51">
        <v>175.75</v>
      </c>
      <c r="H168" s="31">
        <f>Table1[[#This Row],[LENGTH (in.)]]*Table1[[#This Row],[QTY.]]</f>
        <v>175.75</v>
      </c>
      <c r="I168" s="17"/>
      <c r="J168" s="17"/>
      <c r="K168" s="17"/>
    </row>
    <row r="169" spans="1:11" x14ac:dyDescent="0.25">
      <c r="A169" s="16"/>
      <c r="B169" s="16"/>
      <c r="C169" s="16"/>
      <c r="D169" s="32"/>
      <c r="E169" s="49" t="s">
        <v>125</v>
      </c>
      <c r="F169" s="50">
        <v>1</v>
      </c>
      <c r="G169" s="51">
        <v>155.625</v>
      </c>
      <c r="H169" s="31">
        <f>Table1[[#This Row],[LENGTH (in.)]]*Table1[[#This Row],[QTY.]]</f>
        <v>155.625</v>
      </c>
      <c r="I169" s="17"/>
      <c r="J169" s="17"/>
      <c r="K169" s="17"/>
    </row>
    <row r="170" spans="1:11" x14ac:dyDescent="0.25">
      <c r="A170" s="16"/>
      <c r="B170" s="16"/>
      <c r="C170" s="16"/>
      <c r="D170" s="32"/>
      <c r="E170" s="49" t="s">
        <v>126</v>
      </c>
      <c r="F170" s="50">
        <v>1</v>
      </c>
      <c r="G170" s="51">
        <v>157.25</v>
      </c>
      <c r="H170" s="31">
        <f>Table1[[#This Row],[LENGTH (in.)]]*Table1[[#This Row],[QTY.]]</f>
        <v>157.25</v>
      </c>
      <c r="I170" s="17"/>
      <c r="J170" s="17"/>
      <c r="K170" s="17"/>
    </row>
    <row r="171" spans="1:11" x14ac:dyDescent="0.25">
      <c r="A171" s="16"/>
      <c r="B171" s="16"/>
      <c r="C171" s="16"/>
      <c r="D171" s="32"/>
      <c r="E171" s="49" t="s">
        <v>126</v>
      </c>
      <c r="F171" s="50">
        <v>1</v>
      </c>
      <c r="G171" s="51">
        <v>211.125</v>
      </c>
      <c r="H171" s="31">
        <f>Table1[[#This Row],[LENGTH (in.)]]*Table1[[#This Row],[QTY.]]</f>
        <v>211.125</v>
      </c>
      <c r="I171" s="17"/>
      <c r="J171" s="17"/>
      <c r="K171" s="17"/>
    </row>
    <row r="172" spans="1:11" x14ac:dyDescent="0.25">
      <c r="A172" s="16"/>
      <c r="B172" s="16"/>
      <c r="C172" s="16"/>
      <c r="D172" s="32"/>
      <c r="E172" s="49" t="s">
        <v>126</v>
      </c>
      <c r="F172" s="50">
        <v>2</v>
      </c>
      <c r="G172" s="51">
        <v>155.125</v>
      </c>
      <c r="H172" s="31">
        <f>Table1[[#This Row],[LENGTH (in.)]]*Table1[[#This Row],[QTY.]]</f>
        <v>310.25</v>
      </c>
      <c r="I172" s="17"/>
      <c r="J172" s="17"/>
      <c r="K172" s="17"/>
    </row>
    <row r="173" spans="1:11" x14ac:dyDescent="0.25">
      <c r="A173" s="16"/>
      <c r="B173" s="16"/>
      <c r="C173" s="16"/>
      <c r="D173" s="32"/>
      <c r="E173" s="49" t="s">
        <v>126</v>
      </c>
      <c r="F173" s="50">
        <v>1</v>
      </c>
      <c r="G173" s="51">
        <v>205.375</v>
      </c>
      <c r="H173" s="31">
        <f>Table1[[#This Row],[LENGTH (in.)]]*Table1[[#This Row],[QTY.]]</f>
        <v>205.375</v>
      </c>
      <c r="I173" s="17"/>
      <c r="J173" s="17"/>
      <c r="K173" s="17"/>
    </row>
    <row r="174" spans="1:11" x14ac:dyDescent="0.25">
      <c r="A174" s="16"/>
      <c r="B174" s="16"/>
      <c r="C174" s="16"/>
      <c r="D174" s="32"/>
      <c r="E174" s="49" t="s">
        <v>126</v>
      </c>
      <c r="F174" s="50">
        <v>1</v>
      </c>
      <c r="G174" s="51">
        <v>175.75</v>
      </c>
      <c r="H174" s="31">
        <f>Table1[[#This Row],[LENGTH (in.)]]*Table1[[#This Row],[QTY.]]</f>
        <v>175.75</v>
      </c>
      <c r="I174" s="17"/>
      <c r="J174" s="17"/>
      <c r="K174" s="17"/>
    </row>
    <row r="175" spans="1:11" x14ac:dyDescent="0.25">
      <c r="A175" s="16"/>
      <c r="B175" s="16"/>
      <c r="C175" s="16"/>
      <c r="D175" s="32"/>
      <c r="E175" s="49" t="s">
        <v>61</v>
      </c>
      <c r="F175" s="50">
        <v>1</v>
      </c>
      <c r="G175" s="51">
        <v>678.5</v>
      </c>
      <c r="H175" s="31">
        <f>Table1[[#This Row],[LENGTH (in.)]]*Table1[[#This Row],[QTY.]]</f>
        <v>678.5</v>
      </c>
      <c r="I175" s="17"/>
      <c r="J175" s="17"/>
      <c r="K175" s="17"/>
    </row>
    <row r="176" spans="1:11" x14ac:dyDescent="0.25">
      <c r="A176" s="16"/>
      <c r="B176" s="16"/>
      <c r="C176" s="16"/>
      <c r="D176" s="32"/>
      <c r="E176" s="49" t="s">
        <v>81</v>
      </c>
      <c r="F176" s="50">
        <v>18</v>
      </c>
      <c r="G176" s="51">
        <v>203</v>
      </c>
      <c r="H176" s="31">
        <f>Table1[[#This Row],[LENGTH (in.)]]*Table1[[#This Row],[QTY.]]</f>
        <v>3654</v>
      </c>
      <c r="I176" s="17"/>
      <c r="J176" s="17"/>
      <c r="K176" s="17"/>
    </row>
    <row r="177" spans="1:11" x14ac:dyDescent="0.25">
      <c r="A177" s="16"/>
      <c r="B177" s="16"/>
      <c r="C177" s="16"/>
      <c r="D177" s="32"/>
      <c r="E177" s="49" t="s">
        <v>81</v>
      </c>
      <c r="F177" s="50">
        <v>4</v>
      </c>
      <c r="G177" s="51">
        <v>135.5</v>
      </c>
      <c r="H177" s="31">
        <f>Table1[[#This Row],[LENGTH (in.)]]*Table1[[#This Row],[QTY.]]</f>
        <v>542</v>
      </c>
      <c r="I177" s="17"/>
      <c r="J177" s="17"/>
      <c r="K177" s="17"/>
    </row>
    <row r="178" spans="1:11" x14ac:dyDescent="0.25">
      <c r="A178" s="16"/>
      <c r="B178" s="16"/>
      <c r="C178" s="16"/>
      <c r="D178" s="32"/>
      <c r="E178" s="49" t="s">
        <v>81</v>
      </c>
      <c r="F178" s="50">
        <v>3</v>
      </c>
      <c r="G178" s="51">
        <v>80.25</v>
      </c>
      <c r="H178" s="31">
        <f>Table1[[#This Row],[LENGTH (in.)]]*Table1[[#This Row],[QTY.]]</f>
        <v>240.75</v>
      </c>
      <c r="I178" s="17"/>
      <c r="J178" s="17"/>
      <c r="K178" s="17"/>
    </row>
    <row r="179" spans="1:11" x14ac:dyDescent="0.25">
      <c r="A179" s="16"/>
      <c r="B179" s="16"/>
      <c r="C179" s="16"/>
      <c r="D179" s="32"/>
      <c r="E179" s="49" t="s">
        <v>81</v>
      </c>
      <c r="F179" s="50">
        <v>3</v>
      </c>
      <c r="G179" s="51">
        <v>76.25</v>
      </c>
      <c r="H179" s="31">
        <f>Table1[[#This Row],[LENGTH (in.)]]*Table1[[#This Row],[QTY.]]</f>
        <v>228.75</v>
      </c>
      <c r="I179" s="17"/>
      <c r="J179" s="17"/>
      <c r="K179" s="17"/>
    </row>
    <row r="180" spans="1:11" x14ac:dyDescent="0.25">
      <c r="A180" s="16"/>
      <c r="B180" s="16"/>
      <c r="C180" s="16"/>
      <c r="D180" s="32"/>
      <c r="E180" s="49" t="s">
        <v>121</v>
      </c>
      <c r="F180" s="50">
        <v>1</v>
      </c>
      <c r="G180" s="51">
        <v>203</v>
      </c>
      <c r="H180" s="31">
        <f>Table1[[#This Row],[LENGTH (in.)]]*Table1[[#This Row],[QTY.]]</f>
        <v>203</v>
      </c>
      <c r="I180" s="17"/>
      <c r="J180" s="17"/>
      <c r="K180" s="17"/>
    </row>
    <row r="181" spans="1:11" x14ac:dyDescent="0.25">
      <c r="A181" s="16"/>
      <c r="B181" s="16"/>
      <c r="C181" s="16"/>
      <c r="D181" s="32"/>
      <c r="E181" s="49" t="s">
        <v>121</v>
      </c>
      <c r="F181" s="50">
        <v>1</v>
      </c>
      <c r="G181" s="51">
        <v>203</v>
      </c>
      <c r="H181" s="31">
        <f>Table1[[#This Row],[LENGTH (in.)]]*Table1[[#This Row],[QTY.]]</f>
        <v>203</v>
      </c>
      <c r="I181" s="17"/>
      <c r="J181" s="17"/>
      <c r="K181" s="17"/>
    </row>
    <row r="182" spans="1:11" x14ac:dyDescent="0.25">
      <c r="A182" s="16"/>
      <c r="B182" s="16"/>
      <c r="C182" s="16"/>
      <c r="D182" s="32"/>
      <c r="E182" s="49" t="s">
        <v>67</v>
      </c>
      <c r="F182" s="50">
        <v>1</v>
      </c>
      <c r="G182" s="51">
        <v>678.5</v>
      </c>
      <c r="H182" s="31">
        <f>Table1[[#This Row],[LENGTH (in.)]]*Table1[[#This Row],[QTY.]]</f>
        <v>678.5</v>
      </c>
      <c r="I182" s="17"/>
      <c r="J182" s="17"/>
      <c r="K182" s="17"/>
    </row>
    <row r="183" spans="1:11" x14ac:dyDescent="0.25">
      <c r="A183" s="16"/>
      <c r="B183" s="16"/>
      <c r="C183" s="16"/>
      <c r="D183" s="32"/>
      <c r="E183" s="49" t="s">
        <v>94</v>
      </c>
      <c r="F183" s="50">
        <v>2</v>
      </c>
      <c r="G183" s="51">
        <v>29.125</v>
      </c>
      <c r="H183" s="31">
        <f>Table1[[#This Row],[LENGTH (in.)]]*Table1[[#This Row],[QTY.]]</f>
        <v>58.25</v>
      </c>
      <c r="I183" s="17"/>
      <c r="J183" s="17"/>
      <c r="K183" s="17"/>
    </row>
    <row r="184" spans="1:11" x14ac:dyDescent="0.25">
      <c r="A184" s="16"/>
      <c r="B184" s="16"/>
      <c r="C184" s="16"/>
      <c r="D184" s="32"/>
      <c r="E184" s="49" t="s">
        <v>94</v>
      </c>
      <c r="F184" s="50">
        <v>2</v>
      </c>
      <c r="G184" s="51">
        <v>28.625</v>
      </c>
      <c r="H184" s="31">
        <f>Table1[[#This Row],[LENGTH (in.)]]*Table1[[#This Row],[QTY.]]</f>
        <v>57.25</v>
      </c>
      <c r="I184" s="17"/>
      <c r="J184" s="17"/>
      <c r="K184" s="17"/>
    </row>
    <row r="185" spans="1:11" x14ac:dyDescent="0.25">
      <c r="A185" s="16"/>
      <c r="B185" s="16"/>
      <c r="C185" s="16"/>
      <c r="D185" s="32"/>
      <c r="E185" s="49" t="s">
        <v>94</v>
      </c>
      <c r="F185" s="50">
        <v>18</v>
      </c>
      <c r="G185" s="51">
        <v>8</v>
      </c>
      <c r="H185" s="31">
        <f>Table1[[#This Row],[LENGTH (in.)]]*Table1[[#This Row],[QTY.]]</f>
        <v>144</v>
      </c>
      <c r="I185" s="17"/>
      <c r="J185" s="17"/>
      <c r="K185" s="17"/>
    </row>
    <row r="186" spans="1:11" x14ac:dyDescent="0.25">
      <c r="A186" s="16"/>
      <c r="B186" s="16"/>
      <c r="C186" s="16"/>
      <c r="D186" s="32"/>
      <c r="E186" s="49" t="s">
        <v>122</v>
      </c>
      <c r="F186" s="50">
        <v>6</v>
      </c>
      <c r="G186" s="51">
        <v>6</v>
      </c>
      <c r="H186" s="31">
        <f>Table1[[#This Row],[LENGTH (in.)]]*Table1[[#This Row],[QTY.]]</f>
        <v>36</v>
      </c>
      <c r="I186" s="17"/>
      <c r="J186" s="17"/>
      <c r="K186" s="17"/>
    </row>
    <row r="187" spans="1:11" x14ac:dyDescent="0.25">
      <c r="A187" s="16"/>
      <c r="B187" s="16"/>
      <c r="C187" s="16"/>
      <c r="D187" s="32"/>
      <c r="E187" s="49" t="s">
        <v>123</v>
      </c>
      <c r="F187" s="50">
        <v>2</v>
      </c>
      <c r="G187" s="51">
        <v>9</v>
      </c>
      <c r="H187" s="31">
        <f>Table1[[#This Row],[LENGTH (in.)]]*Table1[[#This Row],[QTY.]]</f>
        <v>18</v>
      </c>
      <c r="I187" s="17"/>
      <c r="J187" s="17"/>
      <c r="K187" s="17"/>
    </row>
    <row r="188" spans="1:11" x14ac:dyDescent="0.25">
      <c r="A188" s="16"/>
      <c r="B188" s="16"/>
      <c r="C188" s="16"/>
      <c r="D188" s="32"/>
      <c r="E188" s="49" t="s">
        <v>120</v>
      </c>
      <c r="F188" s="50">
        <v>1</v>
      </c>
      <c r="G188" s="51">
        <v>678.5</v>
      </c>
      <c r="H188" s="31">
        <f>Table1[[#This Row],[LENGTH (in.)]]*Table1[[#This Row],[QTY.]]</f>
        <v>678.5</v>
      </c>
      <c r="I188" s="17"/>
      <c r="J188" s="17"/>
      <c r="K188" s="17"/>
    </row>
    <row r="189" spans="1:11" x14ac:dyDescent="0.25">
      <c r="A189" s="16"/>
      <c r="B189" s="16"/>
      <c r="C189" s="16"/>
      <c r="D189" s="32"/>
      <c r="E189" s="49" t="s">
        <v>126</v>
      </c>
      <c r="F189" s="50">
        <v>1</v>
      </c>
      <c r="G189" s="51">
        <v>211.125</v>
      </c>
      <c r="H189" s="31">
        <f>Table1[[#This Row],[LENGTH (in.)]]*Table1[[#This Row],[QTY.]]</f>
        <v>211.125</v>
      </c>
      <c r="I189" s="17"/>
      <c r="J189" s="17"/>
      <c r="K189" s="17"/>
    </row>
    <row r="190" spans="1:11" x14ac:dyDescent="0.25">
      <c r="A190" s="16"/>
      <c r="B190" s="16"/>
      <c r="C190" s="16"/>
      <c r="D190" s="32"/>
      <c r="E190" s="49" t="s">
        <v>126</v>
      </c>
      <c r="F190" s="50">
        <v>1</v>
      </c>
      <c r="G190" s="51">
        <v>157.25</v>
      </c>
      <c r="H190" s="31">
        <f>Table1[[#This Row],[LENGTH (in.)]]*Table1[[#This Row],[QTY.]]</f>
        <v>157.25</v>
      </c>
      <c r="I190" s="17"/>
      <c r="J190" s="17"/>
      <c r="K190" s="17"/>
    </row>
    <row r="191" spans="1:11" x14ac:dyDescent="0.25">
      <c r="A191" s="16"/>
      <c r="B191" s="16"/>
      <c r="C191" s="16"/>
      <c r="D191" s="32"/>
      <c r="E191" s="49" t="s">
        <v>126</v>
      </c>
      <c r="F191" s="50">
        <v>1</v>
      </c>
      <c r="G191" s="51">
        <v>205.375</v>
      </c>
      <c r="H191" s="31">
        <f>Table1[[#This Row],[LENGTH (in.)]]*Table1[[#This Row],[QTY.]]</f>
        <v>205.375</v>
      </c>
      <c r="I191" s="17"/>
      <c r="J191" s="17"/>
      <c r="K191" s="17"/>
    </row>
    <row r="192" spans="1:11" x14ac:dyDescent="0.25">
      <c r="A192" s="16"/>
      <c r="B192" s="16"/>
      <c r="C192" s="16"/>
      <c r="D192" s="32"/>
      <c r="E192" s="49" t="s">
        <v>126</v>
      </c>
      <c r="F192" s="50">
        <v>1</v>
      </c>
      <c r="G192" s="51">
        <v>175.75</v>
      </c>
      <c r="H192" s="31">
        <f>Table1[[#This Row],[LENGTH (in.)]]*Table1[[#This Row],[QTY.]]</f>
        <v>175.75</v>
      </c>
      <c r="I192" s="17"/>
      <c r="J192" s="17"/>
      <c r="K192" s="17"/>
    </row>
    <row r="193" spans="1:11" x14ac:dyDescent="0.25">
      <c r="A193" s="16"/>
      <c r="B193" s="16"/>
      <c r="C193" s="16"/>
      <c r="D193" s="32"/>
      <c r="E193" s="49" t="s">
        <v>126</v>
      </c>
      <c r="F193" s="50">
        <v>2</v>
      </c>
      <c r="G193" s="51">
        <v>155.125</v>
      </c>
      <c r="H193" s="31">
        <f>Table1[[#This Row],[LENGTH (in.)]]*Table1[[#This Row],[QTY.]]</f>
        <v>310.25</v>
      </c>
      <c r="I193" s="17"/>
      <c r="J193" s="17"/>
      <c r="K193" s="17"/>
    </row>
    <row r="194" spans="1:11" x14ac:dyDescent="0.25">
      <c r="A194" s="16"/>
      <c r="B194" s="16"/>
      <c r="C194" s="16"/>
      <c r="D194" s="32"/>
      <c r="E194" s="49" t="s">
        <v>125</v>
      </c>
      <c r="F194" s="50">
        <v>1</v>
      </c>
      <c r="G194" s="51">
        <v>155.625</v>
      </c>
      <c r="H194" s="31">
        <f>Table1[[#This Row],[LENGTH (in.)]]*Table1[[#This Row],[QTY.]]</f>
        <v>155.625</v>
      </c>
      <c r="I194" s="17"/>
      <c r="J194" s="17"/>
      <c r="K194" s="17"/>
    </row>
    <row r="195" spans="1:11" x14ac:dyDescent="0.25">
      <c r="A195" s="16"/>
      <c r="B195" s="16"/>
      <c r="C195" s="16"/>
      <c r="D195" s="32"/>
      <c r="E195" s="49" t="s">
        <v>125</v>
      </c>
      <c r="F195" s="50">
        <v>1</v>
      </c>
      <c r="G195" s="51">
        <v>207.375</v>
      </c>
      <c r="H195" s="31">
        <f>Table1[[#This Row],[LENGTH (in.)]]*Table1[[#This Row],[QTY.]]</f>
        <v>207.375</v>
      </c>
      <c r="I195" s="17"/>
      <c r="J195" s="17"/>
      <c r="K195" s="17"/>
    </row>
    <row r="196" spans="1:11" x14ac:dyDescent="0.25">
      <c r="A196" s="16"/>
      <c r="B196" s="16"/>
      <c r="C196" s="16"/>
      <c r="D196" s="32"/>
      <c r="E196" s="49" t="s">
        <v>125</v>
      </c>
      <c r="F196" s="50">
        <v>1</v>
      </c>
      <c r="G196" s="51">
        <v>175.75</v>
      </c>
      <c r="H196" s="31">
        <f>Table1[[#This Row],[LENGTH (in.)]]*Table1[[#This Row],[QTY.]]</f>
        <v>175.75</v>
      </c>
      <c r="I196" s="17"/>
      <c r="J196" s="17"/>
      <c r="K196" s="17"/>
    </row>
    <row r="197" spans="1:11" x14ac:dyDescent="0.25">
      <c r="A197" s="16"/>
      <c r="B197" s="16"/>
      <c r="C197" s="16"/>
      <c r="D197" s="32"/>
      <c r="E197" s="49" t="s">
        <v>92</v>
      </c>
      <c r="F197" s="50">
        <v>3</v>
      </c>
      <c r="G197" s="51">
        <v>153.375</v>
      </c>
      <c r="H197" s="31">
        <f>Table1[[#This Row],[LENGTH (in.)]]*Table1[[#This Row],[QTY.]]</f>
        <v>460.125</v>
      </c>
      <c r="I197" s="17"/>
      <c r="J197" s="17"/>
      <c r="K197" s="17"/>
    </row>
    <row r="198" spans="1:11" x14ac:dyDescent="0.25">
      <c r="A198" s="16"/>
      <c r="B198" s="16"/>
      <c r="C198" s="16"/>
      <c r="D198" s="32"/>
      <c r="E198" s="49" t="s">
        <v>61</v>
      </c>
      <c r="F198" s="50">
        <v>1</v>
      </c>
      <c r="G198" s="51">
        <v>655.5</v>
      </c>
      <c r="H198" s="31">
        <f>Table1[[#This Row],[LENGTH (in.)]]*Table1[[#This Row],[QTY.]]</f>
        <v>655.5</v>
      </c>
      <c r="I198" s="17"/>
      <c r="J198" s="17"/>
      <c r="K198" s="17"/>
    </row>
    <row r="199" spans="1:11" x14ac:dyDescent="0.25">
      <c r="A199" s="16"/>
      <c r="B199" s="16"/>
      <c r="C199" s="16"/>
      <c r="D199" s="32"/>
      <c r="E199" s="49" t="s">
        <v>127</v>
      </c>
      <c r="F199" s="50">
        <v>1</v>
      </c>
      <c r="G199" s="51">
        <v>203</v>
      </c>
      <c r="H199" s="31">
        <f>Table1[[#This Row],[LENGTH (in.)]]*Table1[[#This Row],[QTY.]]</f>
        <v>203</v>
      </c>
      <c r="I199" s="17"/>
      <c r="J199" s="17"/>
      <c r="K199" s="17"/>
    </row>
    <row r="200" spans="1:11" x14ac:dyDescent="0.25">
      <c r="A200" s="16"/>
      <c r="B200" s="16"/>
      <c r="C200" s="16"/>
      <c r="D200" s="32"/>
      <c r="E200" s="49" t="s">
        <v>81</v>
      </c>
      <c r="F200" s="50">
        <v>10</v>
      </c>
      <c r="G200" s="51">
        <v>203</v>
      </c>
      <c r="H200" s="31">
        <f>Table1[[#This Row],[LENGTH (in.)]]*Table1[[#This Row],[QTY.]]</f>
        <v>2030</v>
      </c>
      <c r="I200" s="17"/>
      <c r="J200" s="17"/>
      <c r="K200" s="17"/>
    </row>
    <row r="201" spans="1:11" x14ac:dyDescent="0.25">
      <c r="A201" s="16"/>
      <c r="B201" s="16"/>
      <c r="C201" s="16"/>
      <c r="D201" s="32"/>
      <c r="E201" s="49" t="s">
        <v>81</v>
      </c>
      <c r="F201" s="50">
        <v>1</v>
      </c>
      <c r="G201" s="51">
        <v>203</v>
      </c>
      <c r="H201" s="31">
        <f>Table1[[#This Row],[LENGTH (in.)]]*Table1[[#This Row],[QTY.]]</f>
        <v>203</v>
      </c>
      <c r="I201" s="17"/>
      <c r="J201" s="17"/>
      <c r="K201" s="17"/>
    </row>
    <row r="202" spans="1:11" x14ac:dyDescent="0.25">
      <c r="A202" s="16"/>
      <c r="B202" s="16"/>
      <c r="C202" s="16"/>
      <c r="D202" s="32"/>
      <c r="E202" s="49" t="s">
        <v>81</v>
      </c>
      <c r="F202" s="50">
        <v>1</v>
      </c>
      <c r="G202" s="51">
        <v>80</v>
      </c>
      <c r="H202" s="31">
        <f>Table1[[#This Row],[LENGTH (in.)]]*Table1[[#This Row],[QTY.]]</f>
        <v>80</v>
      </c>
      <c r="I202" s="17"/>
      <c r="J202" s="17"/>
      <c r="K202" s="17"/>
    </row>
    <row r="203" spans="1:11" x14ac:dyDescent="0.25">
      <c r="A203" s="16"/>
      <c r="B203" s="16"/>
      <c r="C203" s="16"/>
      <c r="D203" s="32"/>
      <c r="E203" s="49" t="s">
        <v>81</v>
      </c>
      <c r="F203" s="50">
        <v>1</v>
      </c>
      <c r="G203" s="51">
        <v>69.5</v>
      </c>
      <c r="H203" s="31">
        <f>Table1[[#This Row],[LENGTH (in.)]]*Table1[[#This Row],[QTY.]]</f>
        <v>69.5</v>
      </c>
      <c r="I203" s="17"/>
      <c r="J203" s="17"/>
      <c r="K203" s="17"/>
    </row>
    <row r="204" spans="1:11" x14ac:dyDescent="0.25">
      <c r="A204" s="16"/>
      <c r="B204" s="16"/>
      <c r="C204" s="16"/>
      <c r="D204" s="32"/>
      <c r="E204" s="49" t="s">
        <v>81</v>
      </c>
      <c r="F204" s="50">
        <v>1</v>
      </c>
      <c r="G204" s="51">
        <v>52.75</v>
      </c>
      <c r="H204" s="31">
        <f>Table1[[#This Row],[LENGTH (in.)]]*Table1[[#This Row],[QTY.]]</f>
        <v>52.75</v>
      </c>
      <c r="I204" s="17"/>
      <c r="J204" s="17"/>
      <c r="K204" s="17"/>
    </row>
    <row r="205" spans="1:11" x14ac:dyDescent="0.25">
      <c r="A205" s="16"/>
      <c r="B205" s="16"/>
      <c r="C205" s="16"/>
      <c r="D205" s="32"/>
      <c r="E205" s="49" t="s">
        <v>82</v>
      </c>
      <c r="F205" s="50">
        <v>1</v>
      </c>
      <c r="G205" s="51">
        <v>203</v>
      </c>
      <c r="H205" s="31">
        <f>Table1[[#This Row],[LENGTH (in.)]]*Table1[[#This Row],[QTY.]]</f>
        <v>203</v>
      </c>
      <c r="I205" s="17"/>
      <c r="J205" s="17"/>
      <c r="K205" s="17"/>
    </row>
    <row r="206" spans="1:11" x14ac:dyDescent="0.25">
      <c r="A206" s="16"/>
      <c r="B206" s="16"/>
      <c r="C206" s="16"/>
      <c r="D206" s="32"/>
      <c r="E206" s="49" t="s">
        <v>82</v>
      </c>
      <c r="F206" s="50">
        <v>1</v>
      </c>
      <c r="G206" s="51">
        <v>146.875</v>
      </c>
      <c r="H206" s="31">
        <f>Table1[[#This Row],[LENGTH (in.)]]*Table1[[#This Row],[QTY.]]</f>
        <v>146.875</v>
      </c>
      <c r="I206" s="17"/>
      <c r="J206" s="17"/>
      <c r="K206" s="17"/>
    </row>
    <row r="207" spans="1:11" x14ac:dyDescent="0.25">
      <c r="A207" s="16"/>
      <c r="B207" s="16"/>
      <c r="C207" s="16"/>
      <c r="D207" s="32"/>
      <c r="E207" s="49" t="s">
        <v>82</v>
      </c>
      <c r="F207" s="50">
        <v>2</v>
      </c>
      <c r="G207" s="51">
        <v>145.625</v>
      </c>
      <c r="H207" s="31">
        <f>Table1[[#This Row],[LENGTH (in.)]]*Table1[[#This Row],[QTY.]]</f>
        <v>291.25</v>
      </c>
      <c r="I207" s="17"/>
      <c r="J207" s="17"/>
      <c r="K207" s="17"/>
    </row>
    <row r="208" spans="1:11" x14ac:dyDescent="0.25">
      <c r="A208" s="16"/>
      <c r="B208" s="16"/>
      <c r="C208" s="16"/>
      <c r="D208" s="32"/>
      <c r="E208" s="49" t="s">
        <v>82</v>
      </c>
      <c r="F208" s="50">
        <v>3</v>
      </c>
      <c r="G208" s="51">
        <v>131.125</v>
      </c>
      <c r="H208" s="31">
        <f>Table1[[#This Row],[LENGTH (in.)]]*Table1[[#This Row],[QTY.]]</f>
        <v>393.375</v>
      </c>
      <c r="I208" s="17"/>
      <c r="J208" s="17"/>
      <c r="K208" s="17"/>
    </row>
    <row r="209" spans="1:11" x14ac:dyDescent="0.25">
      <c r="A209" s="16"/>
      <c r="B209" s="16"/>
      <c r="C209" s="16"/>
      <c r="D209" s="32"/>
      <c r="E209" s="49" t="s">
        <v>82</v>
      </c>
      <c r="F209" s="50">
        <v>5</v>
      </c>
      <c r="G209" s="51">
        <v>80</v>
      </c>
      <c r="H209" s="31">
        <f>Table1[[#This Row],[LENGTH (in.)]]*Table1[[#This Row],[QTY.]]</f>
        <v>400</v>
      </c>
      <c r="I209" s="17"/>
      <c r="J209" s="17"/>
      <c r="K209" s="17"/>
    </row>
    <row r="210" spans="1:11" x14ac:dyDescent="0.25">
      <c r="A210" s="16"/>
      <c r="B210" s="16"/>
      <c r="C210" s="16"/>
      <c r="D210" s="32"/>
      <c r="E210" s="49" t="s">
        <v>82</v>
      </c>
      <c r="F210" s="50">
        <v>6</v>
      </c>
      <c r="G210" s="51">
        <v>77.5</v>
      </c>
      <c r="H210" s="31">
        <f>Table1[[#This Row],[LENGTH (in.)]]*Table1[[#This Row],[QTY.]]</f>
        <v>465</v>
      </c>
      <c r="I210" s="17"/>
      <c r="J210" s="17"/>
      <c r="K210" s="17"/>
    </row>
    <row r="211" spans="1:11" x14ac:dyDescent="0.25">
      <c r="A211" s="16"/>
      <c r="B211" s="16"/>
      <c r="C211" s="16"/>
      <c r="D211" s="32"/>
      <c r="E211" s="49" t="s">
        <v>82</v>
      </c>
      <c r="F211" s="50">
        <v>6</v>
      </c>
      <c r="G211" s="51">
        <v>71.75</v>
      </c>
      <c r="H211" s="31">
        <f>Table1[[#This Row],[LENGTH (in.)]]*Table1[[#This Row],[QTY.]]</f>
        <v>430.5</v>
      </c>
      <c r="I211" s="17"/>
      <c r="J211" s="17"/>
      <c r="K211" s="17"/>
    </row>
    <row r="212" spans="1:11" x14ac:dyDescent="0.25">
      <c r="A212" s="16"/>
      <c r="B212" s="16"/>
      <c r="C212" s="16"/>
      <c r="D212" s="32"/>
      <c r="E212" s="49" t="s">
        <v>82</v>
      </c>
      <c r="F212" s="50">
        <v>3</v>
      </c>
      <c r="G212" s="51">
        <v>56.5</v>
      </c>
      <c r="H212" s="31">
        <f>Table1[[#This Row],[LENGTH (in.)]]*Table1[[#This Row],[QTY.]]</f>
        <v>169.5</v>
      </c>
      <c r="I212" s="17"/>
      <c r="J212" s="17"/>
      <c r="K212" s="17"/>
    </row>
    <row r="213" spans="1:11" x14ac:dyDescent="0.25">
      <c r="A213" s="16"/>
      <c r="B213" s="16"/>
      <c r="C213" s="16"/>
      <c r="D213" s="32"/>
      <c r="E213" s="49" t="s">
        <v>82</v>
      </c>
      <c r="F213" s="50">
        <v>8</v>
      </c>
      <c r="G213" s="51">
        <v>52.75</v>
      </c>
      <c r="H213" s="31">
        <f>Table1[[#This Row],[LENGTH (in.)]]*Table1[[#This Row],[QTY.]]</f>
        <v>422</v>
      </c>
      <c r="I213" s="17"/>
      <c r="J213" s="17"/>
      <c r="K213" s="17"/>
    </row>
    <row r="214" spans="1:11" x14ac:dyDescent="0.25">
      <c r="A214" s="16"/>
      <c r="B214" s="16"/>
      <c r="C214" s="16"/>
      <c r="D214" s="32"/>
      <c r="E214" s="49" t="s">
        <v>82</v>
      </c>
      <c r="F214" s="50">
        <v>1</v>
      </c>
      <c r="G214" s="51">
        <v>27.5</v>
      </c>
      <c r="H214" s="31">
        <f>Table1[[#This Row],[LENGTH (in.)]]*Table1[[#This Row],[QTY.]]</f>
        <v>27.5</v>
      </c>
      <c r="I214" s="17"/>
      <c r="J214" s="17"/>
      <c r="K214" s="17"/>
    </row>
    <row r="215" spans="1:11" x14ac:dyDescent="0.25">
      <c r="A215" s="16"/>
      <c r="B215" s="16"/>
      <c r="C215" s="16"/>
      <c r="D215" s="32"/>
      <c r="E215" s="49" t="s">
        <v>121</v>
      </c>
      <c r="F215" s="50">
        <v>1</v>
      </c>
      <c r="G215" s="51">
        <v>203</v>
      </c>
      <c r="H215" s="31">
        <f>Table1[[#This Row],[LENGTH (in.)]]*Table1[[#This Row],[QTY.]]</f>
        <v>203</v>
      </c>
      <c r="I215" s="17"/>
      <c r="J215" s="17"/>
      <c r="K215" s="17"/>
    </row>
    <row r="216" spans="1:11" x14ac:dyDescent="0.25">
      <c r="A216" s="16"/>
      <c r="B216" s="16"/>
      <c r="C216" s="16"/>
      <c r="D216" s="32"/>
      <c r="E216" s="49" t="s">
        <v>67</v>
      </c>
      <c r="F216" s="50">
        <v>1</v>
      </c>
      <c r="G216" s="51">
        <v>655.5</v>
      </c>
      <c r="H216" s="31">
        <f>Table1[[#This Row],[LENGTH (in.)]]*Table1[[#This Row],[QTY.]]</f>
        <v>655.5</v>
      </c>
      <c r="I216" s="17"/>
      <c r="J216" s="17"/>
      <c r="K216" s="17"/>
    </row>
    <row r="217" spans="1:11" x14ac:dyDescent="0.25">
      <c r="A217" s="16"/>
      <c r="B217" s="16"/>
      <c r="C217" s="16"/>
      <c r="D217" s="32"/>
      <c r="E217" s="49" t="s">
        <v>94</v>
      </c>
      <c r="F217" s="50">
        <v>2</v>
      </c>
      <c r="G217" s="51">
        <v>20.875</v>
      </c>
      <c r="H217" s="31">
        <f>Table1[[#This Row],[LENGTH (in.)]]*Table1[[#This Row],[QTY.]]</f>
        <v>41.75</v>
      </c>
      <c r="I217" s="17"/>
      <c r="J217" s="17"/>
      <c r="K217" s="17"/>
    </row>
    <row r="218" spans="1:11" x14ac:dyDescent="0.25">
      <c r="A218" s="16"/>
      <c r="B218" s="16"/>
      <c r="C218" s="16"/>
      <c r="D218" s="32"/>
      <c r="E218" s="49" t="s">
        <v>94</v>
      </c>
      <c r="F218" s="50">
        <v>2</v>
      </c>
      <c r="G218" s="51">
        <v>20.75</v>
      </c>
      <c r="H218" s="31">
        <f>Table1[[#This Row],[LENGTH (in.)]]*Table1[[#This Row],[QTY.]]</f>
        <v>41.5</v>
      </c>
      <c r="I218" s="17"/>
      <c r="J218" s="17"/>
      <c r="K218" s="17"/>
    </row>
    <row r="219" spans="1:11" x14ac:dyDescent="0.25">
      <c r="A219" s="16"/>
      <c r="B219" s="16"/>
      <c r="C219" s="16"/>
      <c r="D219" s="32"/>
      <c r="E219" s="49" t="s">
        <v>94</v>
      </c>
      <c r="F219" s="50">
        <v>9</v>
      </c>
      <c r="G219" s="51">
        <v>8</v>
      </c>
      <c r="H219" s="31">
        <f>Table1[[#This Row],[LENGTH (in.)]]*Table1[[#This Row],[QTY.]]</f>
        <v>72</v>
      </c>
      <c r="I219" s="17"/>
      <c r="J219" s="17"/>
      <c r="K219" s="17"/>
    </row>
    <row r="220" spans="1:11" x14ac:dyDescent="0.25">
      <c r="A220" s="16"/>
      <c r="B220" s="16"/>
      <c r="C220" s="16"/>
      <c r="D220" s="32"/>
      <c r="E220" s="49" t="s">
        <v>122</v>
      </c>
      <c r="F220" s="50">
        <v>6</v>
      </c>
      <c r="G220" s="51">
        <v>6</v>
      </c>
      <c r="H220" s="31">
        <f>Table1[[#This Row],[LENGTH (in.)]]*Table1[[#This Row],[QTY.]]</f>
        <v>36</v>
      </c>
      <c r="I220" s="17"/>
      <c r="J220" s="17"/>
      <c r="K220" s="17"/>
    </row>
    <row r="221" spans="1:11" x14ac:dyDescent="0.25">
      <c r="A221" s="16"/>
      <c r="B221" s="16"/>
      <c r="C221" s="16"/>
      <c r="D221" s="32"/>
      <c r="E221" s="49" t="s">
        <v>123</v>
      </c>
      <c r="F221" s="50">
        <v>1</v>
      </c>
      <c r="G221" s="51">
        <v>9</v>
      </c>
      <c r="H221" s="31">
        <f>Table1[[#This Row],[LENGTH (in.)]]*Table1[[#This Row],[QTY.]]</f>
        <v>9</v>
      </c>
      <c r="I221" s="17"/>
      <c r="J221" s="17"/>
      <c r="K221" s="17"/>
    </row>
    <row r="222" spans="1:11" x14ac:dyDescent="0.25">
      <c r="A222" s="16"/>
      <c r="B222" s="16"/>
      <c r="C222" s="16"/>
      <c r="D222" s="32"/>
      <c r="E222" s="49" t="s">
        <v>120</v>
      </c>
      <c r="F222" s="50">
        <v>1</v>
      </c>
      <c r="G222" s="51">
        <v>655.625</v>
      </c>
      <c r="H222" s="31">
        <f>Table1[[#This Row],[LENGTH (in.)]]*Table1[[#This Row],[QTY.]]</f>
        <v>655.625</v>
      </c>
      <c r="I222" s="17"/>
      <c r="J222" s="17"/>
      <c r="K222" s="17"/>
    </row>
    <row r="223" spans="1:11" x14ac:dyDescent="0.25">
      <c r="A223" s="16"/>
      <c r="B223" s="16"/>
      <c r="C223" s="16"/>
      <c r="D223" s="32"/>
      <c r="E223" s="49" t="s">
        <v>124</v>
      </c>
      <c r="F223" s="50">
        <v>2</v>
      </c>
      <c r="G223" s="51">
        <v>160.25</v>
      </c>
      <c r="H223" s="31">
        <f>Table1[[#This Row],[LENGTH (in.)]]*Table1[[#This Row],[QTY.]]</f>
        <v>320.5</v>
      </c>
      <c r="I223" s="17"/>
      <c r="J223" s="17"/>
      <c r="K223" s="17"/>
    </row>
    <row r="224" spans="1:11" x14ac:dyDescent="0.25">
      <c r="A224" s="16"/>
      <c r="B224" s="16"/>
      <c r="C224" s="16"/>
      <c r="D224" s="32"/>
      <c r="E224" s="49" t="s">
        <v>90</v>
      </c>
      <c r="F224" s="50">
        <v>3</v>
      </c>
      <c r="G224" s="51">
        <v>8</v>
      </c>
      <c r="H224" s="31">
        <f>Table1[[#This Row],[LENGTH (in.)]]*Table1[[#This Row],[QTY.]]</f>
        <v>24</v>
      </c>
      <c r="I224" s="17"/>
      <c r="J224" s="17"/>
      <c r="K224" s="17"/>
    </row>
    <row r="225" spans="1:11" x14ac:dyDescent="0.25">
      <c r="A225" s="16"/>
      <c r="B225" s="16"/>
      <c r="C225" s="16"/>
      <c r="D225" s="32"/>
      <c r="E225" s="49" t="s">
        <v>90</v>
      </c>
      <c r="F225" s="50">
        <v>2</v>
      </c>
      <c r="G225" s="51">
        <v>160.25</v>
      </c>
      <c r="H225" s="31">
        <f>Table1[[#This Row],[LENGTH (in.)]]*Table1[[#This Row],[QTY.]]</f>
        <v>320.5</v>
      </c>
      <c r="I225" s="17"/>
      <c r="J225" s="17"/>
      <c r="K225" s="17"/>
    </row>
    <row r="226" spans="1:11" x14ac:dyDescent="0.25">
      <c r="A226" s="16"/>
      <c r="B226" s="16"/>
      <c r="C226" s="16"/>
      <c r="D226" s="32"/>
      <c r="E226" s="49" t="s">
        <v>90</v>
      </c>
      <c r="F226" s="50">
        <v>2</v>
      </c>
      <c r="G226" s="51">
        <v>77.125</v>
      </c>
      <c r="H226" s="31">
        <f>Table1[[#This Row],[LENGTH (in.)]]*Table1[[#This Row],[QTY.]]</f>
        <v>154.25</v>
      </c>
      <c r="I226" s="17"/>
      <c r="J226" s="17"/>
      <c r="K226" s="17"/>
    </row>
    <row r="227" spans="1:11" x14ac:dyDescent="0.25">
      <c r="A227" s="16"/>
      <c r="B227" s="16"/>
      <c r="C227" s="16"/>
      <c r="D227" s="32"/>
      <c r="E227" s="49" t="s">
        <v>90</v>
      </c>
      <c r="F227" s="50">
        <v>1</v>
      </c>
      <c r="G227" s="51">
        <v>121.125</v>
      </c>
      <c r="H227" s="31">
        <f>Table1[[#This Row],[LENGTH (in.)]]*Table1[[#This Row],[QTY.]]</f>
        <v>121.125</v>
      </c>
      <c r="I227" s="17"/>
      <c r="J227" s="17"/>
      <c r="K227" s="17"/>
    </row>
    <row r="228" spans="1:11" x14ac:dyDescent="0.25">
      <c r="A228" s="16"/>
      <c r="B228" s="16"/>
      <c r="C228" s="16"/>
      <c r="D228" s="32"/>
      <c r="E228" s="49" t="s">
        <v>90</v>
      </c>
      <c r="F228" s="50">
        <v>1</v>
      </c>
      <c r="G228" s="51">
        <v>201.875</v>
      </c>
      <c r="H228" s="31">
        <f>Table1[[#This Row],[LENGTH (in.)]]*Table1[[#This Row],[QTY.]]</f>
        <v>201.875</v>
      </c>
      <c r="I228" s="17"/>
      <c r="J228" s="17"/>
      <c r="K228" s="17"/>
    </row>
    <row r="229" spans="1:11" x14ac:dyDescent="0.25">
      <c r="A229" s="16"/>
      <c r="B229" s="16"/>
      <c r="C229" s="16"/>
      <c r="D229" s="32"/>
      <c r="E229" s="49" t="s">
        <v>90</v>
      </c>
      <c r="F229" s="50">
        <v>1</v>
      </c>
      <c r="G229" s="51">
        <v>122.75</v>
      </c>
      <c r="H229" s="31">
        <f>Table1[[#This Row],[LENGTH (in.)]]*Table1[[#This Row],[QTY.]]</f>
        <v>122.75</v>
      </c>
      <c r="I229" s="17"/>
      <c r="J229" s="17"/>
      <c r="K229" s="17"/>
    </row>
    <row r="230" spans="1:11" x14ac:dyDescent="0.25">
      <c r="A230" s="16"/>
      <c r="B230" s="16"/>
      <c r="C230" s="16"/>
      <c r="D230" s="32"/>
      <c r="E230" s="49" t="s">
        <v>90</v>
      </c>
      <c r="F230" s="50">
        <v>1</v>
      </c>
      <c r="G230" s="51">
        <v>246</v>
      </c>
      <c r="H230" s="31">
        <f>Table1[[#This Row],[LENGTH (in.)]]*Table1[[#This Row],[QTY.]]</f>
        <v>246</v>
      </c>
      <c r="I230" s="17"/>
      <c r="J230" s="17"/>
      <c r="K230" s="17"/>
    </row>
    <row r="231" spans="1:11" x14ac:dyDescent="0.25">
      <c r="A231" s="16"/>
      <c r="B231" s="16"/>
      <c r="C231" s="16"/>
      <c r="D231" s="32"/>
      <c r="E231" s="49" t="s">
        <v>90</v>
      </c>
      <c r="F231" s="50">
        <v>1</v>
      </c>
      <c r="G231" s="51">
        <v>208.375</v>
      </c>
      <c r="H231" s="31">
        <f>Table1[[#This Row],[LENGTH (in.)]]*Table1[[#This Row],[QTY.]]</f>
        <v>208.375</v>
      </c>
      <c r="I231" s="17"/>
      <c r="J231" s="17"/>
      <c r="K231" s="17"/>
    </row>
    <row r="232" spans="1:11" x14ac:dyDescent="0.25">
      <c r="A232" s="16"/>
      <c r="B232" s="16"/>
      <c r="C232" s="16"/>
      <c r="D232" s="32"/>
      <c r="E232" s="49" t="s">
        <v>90</v>
      </c>
      <c r="F232" s="50">
        <v>1</v>
      </c>
      <c r="G232" s="51">
        <v>175.75</v>
      </c>
      <c r="H232" s="31">
        <f>Table1[[#This Row],[LENGTH (in.)]]*Table1[[#This Row],[QTY.]]</f>
        <v>175.75</v>
      </c>
      <c r="I232" s="17"/>
      <c r="J232" s="17"/>
      <c r="K232" s="17"/>
    </row>
    <row r="233" spans="1:11" x14ac:dyDescent="0.25">
      <c r="A233" s="16"/>
      <c r="B233" s="16"/>
      <c r="C233" s="16"/>
      <c r="D233" s="32"/>
      <c r="E233" s="49" t="s">
        <v>92</v>
      </c>
      <c r="F233" s="50">
        <v>4</v>
      </c>
      <c r="G233" s="51">
        <v>153.375</v>
      </c>
      <c r="H233" s="31">
        <f>Table1[[#This Row],[LENGTH (in.)]]*Table1[[#This Row],[QTY.]]</f>
        <v>613.5</v>
      </c>
      <c r="I233" s="17"/>
      <c r="J233" s="17"/>
      <c r="K233" s="17"/>
    </row>
    <row r="234" spans="1:11" x14ac:dyDescent="0.25">
      <c r="A234" s="16"/>
      <c r="B234" s="16"/>
      <c r="C234" s="16"/>
      <c r="D234" s="32"/>
      <c r="E234" s="49" t="s">
        <v>125</v>
      </c>
      <c r="F234" s="50">
        <v>1</v>
      </c>
      <c r="G234" s="51">
        <v>207.375</v>
      </c>
      <c r="H234" s="31">
        <f>Table1[[#This Row],[LENGTH (in.)]]*Table1[[#This Row],[QTY.]]</f>
        <v>207.375</v>
      </c>
      <c r="I234" s="17"/>
      <c r="J234" s="17"/>
      <c r="K234" s="17"/>
    </row>
    <row r="235" spans="1:11" x14ac:dyDescent="0.25">
      <c r="A235" s="16"/>
      <c r="B235" s="16"/>
      <c r="C235" s="16"/>
      <c r="D235" s="32"/>
      <c r="E235" s="49" t="s">
        <v>125</v>
      </c>
      <c r="F235" s="50">
        <v>1</v>
      </c>
      <c r="G235" s="51">
        <v>175.75</v>
      </c>
      <c r="H235" s="31">
        <f>Table1[[#This Row],[LENGTH (in.)]]*Table1[[#This Row],[QTY.]]</f>
        <v>175.75</v>
      </c>
      <c r="I235" s="17"/>
      <c r="J235" s="17"/>
      <c r="K235" s="17"/>
    </row>
    <row r="236" spans="1:11" x14ac:dyDescent="0.25">
      <c r="A236" s="16"/>
      <c r="B236" s="16"/>
      <c r="C236" s="16"/>
      <c r="D236" s="32"/>
      <c r="E236" s="49" t="s">
        <v>125</v>
      </c>
      <c r="F236" s="50">
        <v>1</v>
      </c>
      <c r="G236" s="51">
        <v>155.625</v>
      </c>
      <c r="H236" s="31">
        <f>Table1[[#This Row],[LENGTH (in.)]]*Table1[[#This Row],[QTY.]]</f>
        <v>155.625</v>
      </c>
      <c r="I236" s="17"/>
      <c r="J236" s="17"/>
      <c r="K236" s="17"/>
    </row>
    <row r="237" spans="1:11" x14ac:dyDescent="0.25">
      <c r="A237" s="16"/>
      <c r="B237" s="16"/>
      <c r="C237" s="16"/>
      <c r="D237" s="32"/>
      <c r="E237" s="49" t="s">
        <v>126</v>
      </c>
      <c r="F237" s="50">
        <v>1</v>
      </c>
      <c r="G237" s="51">
        <v>157.25</v>
      </c>
      <c r="H237" s="31">
        <f>Table1[[#This Row],[LENGTH (in.)]]*Table1[[#This Row],[QTY.]]</f>
        <v>157.25</v>
      </c>
      <c r="I237" s="17"/>
      <c r="J237" s="17"/>
      <c r="K237" s="17"/>
    </row>
    <row r="238" spans="1:11" x14ac:dyDescent="0.25">
      <c r="A238" s="16"/>
      <c r="B238" s="16"/>
      <c r="C238" s="16"/>
      <c r="D238" s="32"/>
      <c r="E238" s="49" t="s">
        <v>126</v>
      </c>
      <c r="F238" s="50">
        <v>1</v>
      </c>
      <c r="G238" s="51">
        <v>211.125</v>
      </c>
      <c r="H238" s="31">
        <f>Table1[[#This Row],[LENGTH (in.)]]*Table1[[#This Row],[QTY.]]</f>
        <v>211.125</v>
      </c>
      <c r="I238" s="17"/>
      <c r="J238" s="17"/>
      <c r="K238" s="17"/>
    </row>
    <row r="239" spans="1:11" x14ac:dyDescent="0.25">
      <c r="A239" s="16"/>
      <c r="B239" s="16"/>
      <c r="C239" s="16"/>
      <c r="D239" s="32"/>
      <c r="E239" s="49" t="s">
        <v>126</v>
      </c>
      <c r="F239" s="50">
        <v>1</v>
      </c>
      <c r="G239" s="51">
        <v>155.125</v>
      </c>
      <c r="H239" s="31">
        <f>Table1[[#This Row],[LENGTH (in.)]]*Table1[[#This Row],[QTY.]]</f>
        <v>155.125</v>
      </c>
      <c r="I239" s="17"/>
      <c r="J239" s="17"/>
      <c r="K239" s="17"/>
    </row>
    <row r="240" spans="1:11" x14ac:dyDescent="0.25">
      <c r="A240" s="16"/>
      <c r="B240" s="16"/>
      <c r="C240" s="16"/>
      <c r="D240" s="32"/>
      <c r="E240" s="49" t="s">
        <v>126</v>
      </c>
      <c r="F240" s="50">
        <v>1</v>
      </c>
      <c r="G240" s="51">
        <v>155.625</v>
      </c>
      <c r="H240" s="31">
        <f>Table1[[#This Row],[LENGTH (in.)]]*Table1[[#This Row],[QTY.]]</f>
        <v>155.625</v>
      </c>
      <c r="I240" s="17"/>
      <c r="J240" s="17"/>
      <c r="K240" s="17"/>
    </row>
    <row r="241" spans="1:11" x14ac:dyDescent="0.25">
      <c r="A241" s="16"/>
      <c r="B241" s="16"/>
      <c r="C241" s="16"/>
      <c r="D241" s="32"/>
      <c r="E241" s="49" t="s">
        <v>126</v>
      </c>
      <c r="F241" s="50">
        <v>1</v>
      </c>
      <c r="G241" s="51">
        <v>205.375</v>
      </c>
      <c r="H241" s="31">
        <f>Table1[[#This Row],[LENGTH (in.)]]*Table1[[#This Row],[QTY.]]</f>
        <v>205.375</v>
      </c>
      <c r="I241" s="17"/>
      <c r="J241" s="17"/>
      <c r="K241" s="17"/>
    </row>
    <row r="242" spans="1:11" x14ac:dyDescent="0.25">
      <c r="A242" s="16"/>
      <c r="B242" s="16"/>
      <c r="C242" s="16"/>
      <c r="D242" s="32"/>
      <c r="E242" s="49" t="s">
        <v>126</v>
      </c>
      <c r="F242" s="50">
        <v>1</v>
      </c>
      <c r="G242" s="51">
        <v>175.75</v>
      </c>
      <c r="H242" s="31">
        <f>Table1[[#This Row],[LENGTH (in.)]]*Table1[[#This Row],[QTY.]]</f>
        <v>175.75</v>
      </c>
      <c r="I242" s="17"/>
      <c r="J242" s="17"/>
      <c r="K242" s="17"/>
    </row>
    <row r="243" spans="1:11" x14ac:dyDescent="0.25">
      <c r="A243" s="16"/>
      <c r="B243" s="16"/>
      <c r="C243" s="16"/>
      <c r="D243" s="32"/>
      <c r="E243" s="49" t="s">
        <v>61</v>
      </c>
      <c r="F243" s="50">
        <v>1</v>
      </c>
      <c r="G243" s="51">
        <v>655.5</v>
      </c>
      <c r="H243" s="31">
        <f>Table1[[#This Row],[LENGTH (in.)]]*Table1[[#This Row],[QTY.]]</f>
        <v>655.5</v>
      </c>
      <c r="I243" s="17"/>
      <c r="J243" s="17"/>
      <c r="K243" s="17"/>
    </row>
    <row r="244" spans="1:11" x14ac:dyDescent="0.25">
      <c r="A244" s="16"/>
      <c r="B244" s="16"/>
      <c r="C244" s="16"/>
      <c r="D244" s="32"/>
      <c r="E244" s="49" t="s">
        <v>127</v>
      </c>
      <c r="F244" s="50">
        <v>1</v>
      </c>
      <c r="G244" s="51">
        <v>203</v>
      </c>
      <c r="H244" s="31">
        <f>Table1[[#This Row],[LENGTH (in.)]]*Table1[[#This Row],[QTY.]]</f>
        <v>203</v>
      </c>
      <c r="I244" s="17"/>
      <c r="J244" s="17"/>
      <c r="K244" s="17"/>
    </row>
    <row r="245" spans="1:11" x14ac:dyDescent="0.25">
      <c r="A245" s="16"/>
      <c r="B245" s="16"/>
      <c r="C245" s="16"/>
      <c r="D245" s="32"/>
      <c r="E245" s="49" t="s">
        <v>81</v>
      </c>
      <c r="F245" s="50">
        <v>8</v>
      </c>
      <c r="G245" s="51">
        <v>203</v>
      </c>
      <c r="H245" s="31">
        <f>Table1[[#This Row],[LENGTH (in.)]]*Table1[[#This Row],[QTY.]]</f>
        <v>1624</v>
      </c>
      <c r="I245" s="17"/>
      <c r="J245" s="17"/>
      <c r="K245" s="17"/>
    </row>
    <row r="246" spans="1:11" x14ac:dyDescent="0.25">
      <c r="A246" s="16"/>
      <c r="B246" s="16"/>
      <c r="C246" s="16"/>
      <c r="D246" s="32"/>
      <c r="E246" s="49" t="s">
        <v>81</v>
      </c>
      <c r="F246" s="50">
        <v>1</v>
      </c>
      <c r="G246" s="51">
        <v>203</v>
      </c>
      <c r="H246" s="31">
        <f>Table1[[#This Row],[LENGTH (in.)]]*Table1[[#This Row],[QTY.]]</f>
        <v>203</v>
      </c>
      <c r="I246" s="17"/>
      <c r="J246" s="17"/>
      <c r="K246" s="17"/>
    </row>
    <row r="247" spans="1:11" x14ac:dyDescent="0.25">
      <c r="A247" s="16"/>
      <c r="B247" s="16"/>
      <c r="C247" s="16"/>
      <c r="D247" s="32"/>
      <c r="E247" s="49" t="s">
        <v>82</v>
      </c>
      <c r="F247" s="50">
        <v>6</v>
      </c>
      <c r="G247" s="51">
        <v>203</v>
      </c>
      <c r="H247" s="31">
        <f>Table1[[#This Row],[LENGTH (in.)]]*Table1[[#This Row],[QTY.]]</f>
        <v>1218</v>
      </c>
      <c r="I247" s="17"/>
      <c r="J247" s="17"/>
      <c r="K247" s="17"/>
    </row>
    <row r="248" spans="1:11" x14ac:dyDescent="0.25">
      <c r="A248" s="16"/>
      <c r="B248" s="16"/>
      <c r="C248" s="16"/>
      <c r="D248" s="32"/>
      <c r="E248" s="49" t="s">
        <v>82</v>
      </c>
      <c r="F248" s="50">
        <v>8</v>
      </c>
      <c r="G248" s="51">
        <v>73</v>
      </c>
      <c r="H248" s="31">
        <f>Table1[[#This Row],[LENGTH (in.)]]*Table1[[#This Row],[QTY.]]</f>
        <v>584</v>
      </c>
      <c r="I248" s="17"/>
      <c r="J248" s="17"/>
      <c r="K248" s="17"/>
    </row>
    <row r="249" spans="1:11" x14ac:dyDescent="0.25">
      <c r="A249" s="16"/>
      <c r="B249" s="16"/>
      <c r="C249" s="16"/>
      <c r="D249" s="32"/>
      <c r="E249" s="49" t="s">
        <v>82</v>
      </c>
      <c r="F249" s="50">
        <v>8</v>
      </c>
      <c r="G249" s="51">
        <v>72.5</v>
      </c>
      <c r="H249" s="31">
        <f>Table1[[#This Row],[LENGTH (in.)]]*Table1[[#This Row],[QTY.]]</f>
        <v>580</v>
      </c>
      <c r="I249" s="17"/>
      <c r="J249" s="17"/>
      <c r="K249" s="17"/>
    </row>
    <row r="250" spans="1:11" x14ac:dyDescent="0.25">
      <c r="A250" s="16"/>
      <c r="B250" s="16"/>
      <c r="C250" s="16"/>
      <c r="D250" s="32"/>
      <c r="E250" s="49" t="s">
        <v>82</v>
      </c>
      <c r="F250" s="50">
        <v>24</v>
      </c>
      <c r="G250" s="51">
        <v>52.75</v>
      </c>
      <c r="H250" s="31">
        <f>Table1[[#This Row],[LENGTH (in.)]]*Table1[[#This Row],[QTY.]]</f>
        <v>1266</v>
      </c>
      <c r="I250" s="17"/>
      <c r="J250" s="17"/>
      <c r="K250" s="17"/>
    </row>
    <row r="251" spans="1:11" x14ac:dyDescent="0.25">
      <c r="A251" s="16"/>
      <c r="B251" s="16"/>
      <c r="C251" s="16"/>
      <c r="D251" s="32"/>
      <c r="E251" s="49" t="s">
        <v>82</v>
      </c>
      <c r="F251" s="50">
        <v>8</v>
      </c>
      <c r="G251" s="51">
        <v>52.625</v>
      </c>
      <c r="H251" s="31">
        <f>Table1[[#This Row],[LENGTH (in.)]]*Table1[[#This Row],[QTY.]]</f>
        <v>421</v>
      </c>
      <c r="I251" s="17"/>
      <c r="J251" s="17"/>
      <c r="K251" s="17"/>
    </row>
    <row r="252" spans="1:11" x14ac:dyDescent="0.25">
      <c r="A252" s="16"/>
      <c r="B252" s="16"/>
      <c r="C252" s="16"/>
      <c r="D252" s="32"/>
      <c r="E252" s="49" t="s">
        <v>82</v>
      </c>
      <c r="F252" s="50">
        <v>8</v>
      </c>
      <c r="G252" s="51">
        <v>44.625</v>
      </c>
      <c r="H252" s="31">
        <f>Table1[[#This Row],[LENGTH (in.)]]*Table1[[#This Row],[QTY.]]</f>
        <v>357</v>
      </c>
      <c r="I252" s="17"/>
      <c r="J252" s="17"/>
      <c r="K252" s="17"/>
    </row>
    <row r="253" spans="1:11" x14ac:dyDescent="0.25">
      <c r="A253" s="16"/>
      <c r="B253" s="16"/>
      <c r="C253" s="16"/>
      <c r="D253" s="32"/>
      <c r="E253" s="49" t="s">
        <v>121</v>
      </c>
      <c r="F253" s="50">
        <v>1</v>
      </c>
      <c r="G253" s="51">
        <v>203</v>
      </c>
      <c r="H253" s="31">
        <f>Table1[[#This Row],[LENGTH (in.)]]*Table1[[#This Row],[QTY.]]</f>
        <v>203</v>
      </c>
      <c r="I253" s="17"/>
      <c r="J253" s="17"/>
      <c r="K253" s="17"/>
    </row>
    <row r="254" spans="1:11" x14ac:dyDescent="0.25">
      <c r="A254" s="16"/>
      <c r="B254" s="16"/>
      <c r="C254" s="16"/>
      <c r="D254" s="32"/>
      <c r="E254" s="49" t="s">
        <v>67</v>
      </c>
      <c r="F254" s="50">
        <v>1</v>
      </c>
      <c r="G254" s="51">
        <v>655.5</v>
      </c>
      <c r="H254" s="31">
        <f>Table1[[#This Row],[LENGTH (in.)]]*Table1[[#This Row],[QTY.]]</f>
        <v>655.5</v>
      </c>
      <c r="I254" s="17"/>
      <c r="J254" s="17"/>
      <c r="K254" s="17"/>
    </row>
    <row r="255" spans="1:11" x14ac:dyDescent="0.25">
      <c r="A255" s="16"/>
      <c r="B255" s="16"/>
      <c r="C255" s="16"/>
      <c r="D255" s="32"/>
      <c r="E255" s="49" t="s">
        <v>94</v>
      </c>
      <c r="F255" s="50">
        <v>2</v>
      </c>
      <c r="G255" s="51">
        <v>27</v>
      </c>
      <c r="H255" s="31">
        <f>Table1[[#This Row],[LENGTH (in.)]]*Table1[[#This Row],[QTY.]]</f>
        <v>54</v>
      </c>
      <c r="I255" s="17"/>
      <c r="J255" s="17"/>
      <c r="K255" s="17"/>
    </row>
    <row r="256" spans="1:11" x14ac:dyDescent="0.25">
      <c r="A256" s="16"/>
      <c r="B256" s="16"/>
      <c r="C256" s="16"/>
      <c r="D256" s="32"/>
      <c r="E256" s="49" t="s">
        <v>94</v>
      </c>
      <c r="F256" s="50">
        <v>9</v>
      </c>
      <c r="G256" s="51">
        <v>8</v>
      </c>
      <c r="H256" s="31">
        <f>Table1[[#This Row],[LENGTH (in.)]]*Table1[[#This Row],[QTY.]]</f>
        <v>72</v>
      </c>
      <c r="I256" s="17"/>
      <c r="J256" s="17"/>
      <c r="K256" s="17"/>
    </row>
    <row r="257" spans="1:11" x14ac:dyDescent="0.25">
      <c r="A257" s="16"/>
      <c r="B257" s="16"/>
      <c r="C257" s="16"/>
      <c r="D257" s="32"/>
      <c r="E257" s="49" t="s">
        <v>122</v>
      </c>
      <c r="F257" s="50">
        <v>6</v>
      </c>
      <c r="G257" s="51">
        <v>6</v>
      </c>
      <c r="H257" s="31">
        <f>Table1[[#This Row],[LENGTH (in.)]]*Table1[[#This Row],[QTY.]]</f>
        <v>36</v>
      </c>
      <c r="I257" s="17"/>
      <c r="J257" s="17"/>
      <c r="K257" s="17"/>
    </row>
    <row r="258" spans="1:11" x14ac:dyDescent="0.25">
      <c r="A258" s="16"/>
      <c r="B258" s="16"/>
      <c r="C258" s="16"/>
      <c r="D258" s="32"/>
      <c r="E258" s="49" t="s">
        <v>123</v>
      </c>
      <c r="F258" s="50">
        <v>1</v>
      </c>
      <c r="G258" s="51">
        <v>9</v>
      </c>
      <c r="H258" s="31">
        <f>Table1[[#This Row],[LENGTH (in.)]]*Table1[[#This Row],[QTY.]]</f>
        <v>9</v>
      </c>
      <c r="I258" s="17"/>
      <c r="J258" s="17"/>
      <c r="K258" s="17"/>
    </row>
    <row r="259" spans="1:11" x14ac:dyDescent="0.25">
      <c r="A259" s="16"/>
      <c r="B259" s="16"/>
      <c r="C259" s="16"/>
      <c r="D259" s="32"/>
      <c r="E259" s="49" t="s">
        <v>120</v>
      </c>
      <c r="F259" s="50">
        <v>1</v>
      </c>
      <c r="G259" s="51">
        <v>655.625</v>
      </c>
      <c r="H259" s="31">
        <f>Table1[[#This Row],[LENGTH (in.)]]*Table1[[#This Row],[QTY.]]</f>
        <v>655.625</v>
      </c>
      <c r="I259" s="17"/>
      <c r="J259" s="17"/>
      <c r="K259" s="17"/>
    </row>
    <row r="260" spans="1:11" x14ac:dyDescent="0.25">
      <c r="A260" s="16"/>
      <c r="B260" s="16"/>
      <c r="C260" s="16"/>
      <c r="D260" s="32"/>
      <c r="E260" s="49" t="s">
        <v>90</v>
      </c>
      <c r="F260" s="50">
        <v>1</v>
      </c>
      <c r="G260" s="51">
        <v>175.75</v>
      </c>
      <c r="H260" s="31">
        <f>Table1[[#This Row],[LENGTH (in.)]]*Table1[[#This Row],[QTY.]]</f>
        <v>175.75</v>
      </c>
      <c r="I260" s="17"/>
      <c r="J260" s="17"/>
      <c r="K260" s="17"/>
    </row>
    <row r="261" spans="1:11" x14ac:dyDescent="0.25">
      <c r="A261" s="16"/>
      <c r="B261" s="16"/>
      <c r="C261" s="16"/>
      <c r="D261" s="32"/>
      <c r="E261" s="49" t="s">
        <v>90</v>
      </c>
      <c r="F261" s="50">
        <v>1</v>
      </c>
      <c r="G261" s="51">
        <v>208.375</v>
      </c>
      <c r="H261" s="31">
        <f>Table1[[#This Row],[LENGTH (in.)]]*Table1[[#This Row],[QTY.]]</f>
        <v>208.375</v>
      </c>
      <c r="I261" s="17"/>
      <c r="J261" s="17"/>
      <c r="K261" s="17"/>
    </row>
    <row r="262" spans="1:11" x14ac:dyDescent="0.25">
      <c r="A262" s="16"/>
      <c r="B262" s="16"/>
      <c r="C262" s="16"/>
      <c r="D262" s="32"/>
      <c r="E262" s="49" t="s">
        <v>92</v>
      </c>
      <c r="F262" s="50">
        <v>4</v>
      </c>
      <c r="G262" s="51">
        <v>153.375</v>
      </c>
      <c r="H262" s="31">
        <f>Table1[[#This Row],[LENGTH (in.)]]*Table1[[#This Row],[QTY.]]</f>
        <v>613.5</v>
      </c>
      <c r="I262" s="17"/>
      <c r="J262" s="17"/>
      <c r="K262" s="17"/>
    </row>
    <row r="263" spans="1:11" x14ac:dyDescent="0.25">
      <c r="A263" s="16"/>
      <c r="B263" s="16"/>
      <c r="C263" s="16"/>
      <c r="D263" s="32"/>
      <c r="E263" s="49" t="s">
        <v>125</v>
      </c>
      <c r="F263" s="50">
        <v>1</v>
      </c>
      <c r="G263" s="51">
        <v>155.625</v>
      </c>
      <c r="H263" s="31">
        <f>Table1[[#This Row],[LENGTH (in.)]]*Table1[[#This Row],[QTY.]]</f>
        <v>155.625</v>
      </c>
      <c r="I263" s="17"/>
      <c r="J263" s="17"/>
      <c r="K263" s="17"/>
    </row>
    <row r="264" spans="1:11" x14ac:dyDescent="0.25">
      <c r="A264" s="16"/>
      <c r="B264" s="16"/>
      <c r="C264" s="16"/>
      <c r="D264" s="32"/>
      <c r="E264" s="49" t="s">
        <v>125</v>
      </c>
      <c r="F264" s="50">
        <v>1</v>
      </c>
      <c r="G264" s="51">
        <v>207.375</v>
      </c>
      <c r="H264" s="31">
        <f>Table1[[#This Row],[LENGTH (in.)]]*Table1[[#This Row],[QTY.]]</f>
        <v>207.375</v>
      </c>
      <c r="I264" s="17"/>
      <c r="J264" s="17"/>
      <c r="K264" s="17"/>
    </row>
    <row r="265" spans="1:11" x14ac:dyDescent="0.25">
      <c r="A265" s="16"/>
      <c r="B265" s="16"/>
      <c r="C265" s="16"/>
      <c r="D265" s="32"/>
      <c r="E265" s="49" t="s">
        <v>125</v>
      </c>
      <c r="F265" s="50">
        <v>1</v>
      </c>
      <c r="G265" s="51">
        <v>175.75</v>
      </c>
      <c r="H265" s="31">
        <f>Table1[[#This Row],[LENGTH (in.)]]*Table1[[#This Row],[QTY.]]</f>
        <v>175.75</v>
      </c>
      <c r="I265" s="17"/>
      <c r="J265" s="17"/>
      <c r="K265" s="17"/>
    </row>
    <row r="266" spans="1:11" x14ac:dyDescent="0.25">
      <c r="A266" s="16"/>
      <c r="B266" s="16"/>
      <c r="C266" s="16"/>
      <c r="D266" s="32"/>
      <c r="E266" s="49" t="s">
        <v>126</v>
      </c>
      <c r="F266" s="50">
        <v>1</v>
      </c>
      <c r="G266" s="51">
        <v>211.125</v>
      </c>
      <c r="H266" s="31">
        <f>Table1[[#This Row],[LENGTH (in.)]]*Table1[[#This Row],[QTY.]]</f>
        <v>211.125</v>
      </c>
      <c r="I266" s="17"/>
      <c r="J266" s="17"/>
      <c r="K266" s="17"/>
    </row>
    <row r="267" spans="1:11" x14ac:dyDescent="0.25">
      <c r="A267" s="16"/>
      <c r="B267" s="16"/>
      <c r="C267" s="16"/>
      <c r="D267" s="32"/>
      <c r="E267" s="49" t="s">
        <v>126</v>
      </c>
      <c r="F267" s="50">
        <v>1</v>
      </c>
      <c r="G267" s="51">
        <v>157.25</v>
      </c>
      <c r="H267" s="31">
        <f>Table1[[#This Row],[LENGTH (in.)]]*Table1[[#This Row],[QTY.]]</f>
        <v>157.25</v>
      </c>
      <c r="I267" s="17"/>
      <c r="J267" s="17"/>
      <c r="K267" s="17"/>
    </row>
    <row r="268" spans="1:11" x14ac:dyDescent="0.25">
      <c r="A268" s="16"/>
      <c r="B268" s="16"/>
      <c r="C268" s="16"/>
      <c r="D268" s="32"/>
      <c r="E268" s="49" t="s">
        <v>126</v>
      </c>
      <c r="F268" s="50">
        <v>1</v>
      </c>
      <c r="G268" s="51">
        <v>155.125</v>
      </c>
      <c r="H268" s="31">
        <f>Table1[[#This Row],[LENGTH (in.)]]*Table1[[#This Row],[QTY.]]</f>
        <v>155.125</v>
      </c>
      <c r="I268" s="17"/>
      <c r="J268" s="17"/>
      <c r="K268" s="17"/>
    </row>
    <row r="269" spans="1:11" x14ac:dyDescent="0.25">
      <c r="A269" s="16"/>
      <c r="B269" s="16"/>
      <c r="C269" s="16"/>
      <c r="D269" s="32"/>
      <c r="E269" s="49" t="s">
        <v>126</v>
      </c>
      <c r="F269" s="50">
        <v>1</v>
      </c>
      <c r="G269" s="51">
        <v>155.625</v>
      </c>
      <c r="H269" s="31">
        <f>Table1[[#This Row],[LENGTH (in.)]]*Table1[[#This Row],[QTY.]]</f>
        <v>155.625</v>
      </c>
      <c r="I269" s="17"/>
      <c r="J269" s="17"/>
      <c r="K269" s="17"/>
    </row>
    <row r="270" spans="1:11" x14ac:dyDescent="0.25">
      <c r="A270" s="16"/>
      <c r="B270" s="16"/>
      <c r="C270" s="16"/>
      <c r="D270" s="32"/>
      <c r="E270" s="49" t="s">
        <v>126</v>
      </c>
      <c r="F270" s="50">
        <v>1</v>
      </c>
      <c r="G270" s="51">
        <v>205.375</v>
      </c>
      <c r="H270" s="31">
        <f>Table1[[#This Row],[LENGTH (in.)]]*Table1[[#This Row],[QTY.]]</f>
        <v>205.375</v>
      </c>
      <c r="I270" s="17"/>
      <c r="J270" s="17"/>
      <c r="K270" s="17"/>
    </row>
    <row r="271" spans="1:11" x14ac:dyDescent="0.25">
      <c r="A271" s="16"/>
      <c r="B271" s="16"/>
      <c r="C271" s="16"/>
      <c r="D271" s="32"/>
      <c r="E271" s="49" t="s">
        <v>126</v>
      </c>
      <c r="F271" s="50">
        <v>1</v>
      </c>
      <c r="G271" s="51">
        <v>175.75</v>
      </c>
      <c r="H271" s="31">
        <f>Table1[[#This Row],[LENGTH (in.)]]*Table1[[#This Row],[QTY.]]</f>
        <v>175.75</v>
      </c>
      <c r="I271" s="17"/>
      <c r="J271" s="17"/>
      <c r="K271" s="17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43"/>
  <sheetViews>
    <sheetView topLeftCell="A16" zoomScale="115" zoomScaleNormal="115" workbookViewId="0">
      <selection activeCell="C45" sqref="C45"/>
    </sheetView>
  </sheetViews>
  <sheetFormatPr defaultColWidth="8.85546875" defaultRowHeight="11.25" x14ac:dyDescent="0.2"/>
  <cols>
    <col min="1" max="1" width="38.42578125" style="18" bestFit="1" customWidth="1"/>
    <col min="2" max="2" width="10.7109375" style="18" bestFit="1" customWidth="1"/>
    <col min="3" max="3" width="9.7109375" style="21" bestFit="1" customWidth="1"/>
    <col min="4" max="4" width="6.42578125" style="18" bestFit="1" customWidth="1"/>
    <col min="5" max="5" width="4.42578125" style="18" bestFit="1" customWidth="1"/>
    <col min="6" max="6" width="47.85546875" style="18" bestFit="1" customWidth="1"/>
    <col min="7" max="7" width="10.5703125" style="18" bestFit="1" customWidth="1"/>
    <col min="8" max="8" width="54.7109375" style="18" bestFit="1" customWidth="1"/>
    <col min="9" max="16384" width="8.85546875" style="18"/>
  </cols>
  <sheetData>
    <row r="1" spans="1:8" x14ac:dyDescent="0.2">
      <c r="A1" s="18" t="s">
        <v>68</v>
      </c>
      <c r="B1" s="18" t="s">
        <v>69</v>
      </c>
      <c r="C1" s="21" t="s">
        <v>70</v>
      </c>
      <c r="D1" s="18" t="s">
        <v>71</v>
      </c>
      <c r="E1" s="18" t="s">
        <v>72</v>
      </c>
      <c r="F1" s="18" t="s">
        <v>73</v>
      </c>
    </row>
    <row r="2" spans="1:8" x14ac:dyDescent="0.2">
      <c r="A2" s="18" t="s">
        <v>60</v>
      </c>
      <c r="B2" s="18">
        <v>480</v>
      </c>
      <c r="C2" s="21" t="s">
        <v>16</v>
      </c>
      <c r="D2" s="18">
        <v>40</v>
      </c>
      <c r="E2" s="18" t="s">
        <v>18</v>
      </c>
      <c r="F2" s="18" t="s">
        <v>17</v>
      </c>
    </row>
    <row r="3" spans="1:8" x14ac:dyDescent="0.2">
      <c r="A3" s="18" t="s">
        <v>83</v>
      </c>
      <c r="B3" s="18">
        <v>600</v>
      </c>
      <c r="C3" s="21" t="s">
        <v>19</v>
      </c>
      <c r="D3" s="18">
        <v>50</v>
      </c>
      <c r="E3" s="18" t="s">
        <v>18</v>
      </c>
      <c r="F3" s="18" t="s">
        <v>20</v>
      </c>
    </row>
    <row r="4" spans="1:8" x14ac:dyDescent="0.2">
      <c r="A4" s="18" t="s">
        <v>84</v>
      </c>
      <c r="B4" s="18">
        <v>480</v>
      </c>
      <c r="C4" s="21" t="s">
        <v>21</v>
      </c>
      <c r="D4" s="18">
        <v>40</v>
      </c>
      <c r="E4" s="18" t="s">
        <v>18</v>
      </c>
      <c r="F4" s="18" t="s">
        <v>22</v>
      </c>
    </row>
    <row r="5" spans="1:8" x14ac:dyDescent="0.2">
      <c r="A5" s="18" t="s">
        <v>82</v>
      </c>
      <c r="B5" s="18">
        <v>600</v>
      </c>
      <c r="C5" s="21" t="s">
        <v>23</v>
      </c>
      <c r="D5" s="18">
        <v>50</v>
      </c>
      <c r="E5" s="18" t="s">
        <v>18</v>
      </c>
      <c r="F5" s="18" t="s">
        <v>24</v>
      </c>
    </row>
    <row r="6" spans="1:8" x14ac:dyDescent="0.2">
      <c r="A6" s="18" t="s">
        <v>81</v>
      </c>
      <c r="B6" s="18">
        <v>720</v>
      </c>
      <c r="C6" s="21" t="s">
        <v>14</v>
      </c>
      <c r="D6" s="18">
        <v>60</v>
      </c>
      <c r="E6" s="18" t="s">
        <v>18</v>
      </c>
      <c r="F6" s="18" t="s">
        <v>25</v>
      </c>
    </row>
    <row r="7" spans="1:8" x14ac:dyDescent="0.2">
      <c r="A7" s="18" t="s">
        <v>61</v>
      </c>
      <c r="B7" s="18">
        <v>720</v>
      </c>
      <c r="C7" s="21" t="s">
        <v>26</v>
      </c>
      <c r="D7" s="18">
        <v>60</v>
      </c>
      <c r="E7" s="18" t="s">
        <v>18</v>
      </c>
      <c r="F7" s="18" t="s">
        <v>27</v>
      </c>
    </row>
    <row r="8" spans="1:8" x14ac:dyDescent="0.2">
      <c r="A8" s="18" t="s">
        <v>62</v>
      </c>
      <c r="B8" s="18">
        <v>480</v>
      </c>
      <c r="C8" s="21" t="s">
        <v>28</v>
      </c>
      <c r="D8" s="18">
        <v>40</v>
      </c>
      <c r="E8" s="18" t="s">
        <v>18</v>
      </c>
      <c r="F8" s="18" t="s">
        <v>29</v>
      </c>
    </row>
    <row r="9" spans="1:8" x14ac:dyDescent="0.2">
      <c r="A9" s="18" t="s">
        <v>85</v>
      </c>
      <c r="B9" s="18">
        <v>480</v>
      </c>
      <c r="C9" s="21" t="s">
        <v>30</v>
      </c>
      <c r="D9" s="18">
        <v>40</v>
      </c>
      <c r="E9" s="18" t="s">
        <v>18</v>
      </c>
      <c r="F9" s="18" t="s">
        <v>31</v>
      </c>
    </row>
    <row r="10" spans="1:8" x14ac:dyDescent="0.2">
      <c r="A10" s="18" t="s">
        <v>63</v>
      </c>
      <c r="B10" s="18">
        <v>480</v>
      </c>
      <c r="C10" s="21" t="s">
        <v>32</v>
      </c>
      <c r="D10" s="18">
        <v>40</v>
      </c>
      <c r="E10" s="18" t="s">
        <v>18</v>
      </c>
      <c r="F10" s="18" t="s">
        <v>33</v>
      </c>
    </row>
    <row r="11" spans="1:8" x14ac:dyDescent="0.2">
      <c r="A11" s="18" t="s">
        <v>64</v>
      </c>
      <c r="B11" s="18">
        <v>600</v>
      </c>
      <c r="C11" s="21" t="s">
        <v>15</v>
      </c>
      <c r="D11" s="18">
        <v>50</v>
      </c>
      <c r="E11" s="18" t="s">
        <v>18</v>
      </c>
      <c r="F11" s="18" t="s">
        <v>34</v>
      </c>
    </row>
    <row r="12" spans="1:8" x14ac:dyDescent="0.2">
      <c r="A12" s="18" t="s">
        <v>80</v>
      </c>
      <c r="B12" s="18">
        <v>480</v>
      </c>
      <c r="C12" s="21" t="s">
        <v>35</v>
      </c>
      <c r="D12" s="18">
        <v>40</v>
      </c>
      <c r="E12" s="18" t="s">
        <v>18</v>
      </c>
      <c r="F12" s="18" t="s">
        <v>36</v>
      </c>
    </row>
    <row r="13" spans="1:8" x14ac:dyDescent="0.2">
      <c r="A13" s="18" t="s">
        <v>65</v>
      </c>
      <c r="B13" s="18">
        <v>480</v>
      </c>
      <c r="C13" s="21" t="s">
        <v>37</v>
      </c>
      <c r="D13" s="18">
        <v>40</v>
      </c>
      <c r="E13" s="18" t="s">
        <v>18</v>
      </c>
      <c r="F13" s="18" t="s">
        <v>38</v>
      </c>
    </row>
    <row r="14" spans="1:8" x14ac:dyDescent="0.2">
      <c r="A14" s="18" t="s">
        <v>66</v>
      </c>
      <c r="B14" s="18">
        <v>480</v>
      </c>
      <c r="C14" s="21" t="s">
        <v>39</v>
      </c>
      <c r="D14" s="18">
        <v>40</v>
      </c>
      <c r="E14" s="18" t="s">
        <v>18</v>
      </c>
      <c r="F14" s="18" t="s">
        <v>40</v>
      </c>
    </row>
    <row r="15" spans="1:8" x14ac:dyDescent="0.2">
      <c r="A15" s="18" t="s">
        <v>88</v>
      </c>
      <c r="B15" s="18">
        <v>720</v>
      </c>
      <c r="C15" s="21" t="s">
        <v>41</v>
      </c>
      <c r="D15" s="18">
        <v>60</v>
      </c>
      <c r="E15" s="18" t="s">
        <v>18</v>
      </c>
      <c r="F15" s="18" t="s">
        <v>42</v>
      </c>
      <c r="H15" s="21"/>
    </row>
    <row r="16" spans="1:8" x14ac:dyDescent="0.2">
      <c r="A16" s="18" t="s">
        <v>67</v>
      </c>
      <c r="B16" s="18">
        <v>720</v>
      </c>
      <c r="C16" s="21" t="s">
        <v>43</v>
      </c>
      <c r="D16" s="18">
        <v>60</v>
      </c>
      <c r="E16" s="18" t="s">
        <v>18</v>
      </c>
      <c r="F16" s="18" t="s">
        <v>44</v>
      </c>
    </row>
    <row r="17" spans="1:10" x14ac:dyDescent="0.2">
      <c r="A17" s="18" t="s">
        <v>79</v>
      </c>
      <c r="B17" s="18">
        <v>240</v>
      </c>
      <c r="C17" s="21" t="s">
        <v>45</v>
      </c>
      <c r="D17" s="18">
        <v>20</v>
      </c>
      <c r="E17" s="18" t="s">
        <v>18</v>
      </c>
      <c r="F17" s="18" t="s">
        <v>46</v>
      </c>
    </row>
    <row r="18" spans="1:10" x14ac:dyDescent="0.2">
      <c r="A18" s="18" t="s">
        <v>78</v>
      </c>
      <c r="B18" s="18">
        <v>240</v>
      </c>
      <c r="C18" s="21" t="s">
        <v>47</v>
      </c>
      <c r="D18" s="18">
        <v>20</v>
      </c>
      <c r="E18" s="18" t="s">
        <v>18</v>
      </c>
      <c r="F18" s="18" t="s">
        <v>48</v>
      </c>
    </row>
    <row r="19" spans="1:10" x14ac:dyDescent="0.2">
      <c r="A19" s="18" t="s">
        <v>95</v>
      </c>
      <c r="B19" s="18">
        <v>576</v>
      </c>
      <c r="C19" s="21" t="s">
        <v>49</v>
      </c>
      <c r="D19" s="18">
        <v>48</v>
      </c>
      <c r="E19" s="18" t="s">
        <v>18</v>
      </c>
      <c r="F19" s="18" t="s">
        <v>50</v>
      </c>
    </row>
    <row r="20" spans="1:10" x14ac:dyDescent="0.2">
      <c r="A20" s="18" t="s">
        <v>90</v>
      </c>
      <c r="B20" s="18">
        <v>480</v>
      </c>
      <c r="C20" s="21" t="s">
        <v>51</v>
      </c>
      <c r="D20" s="18">
        <v>40</v>
      </c>
      <c r="E20" s="18" t="s">
        <v>18</v>
      </c>
      <c r="F20" s="18" t="s">
        <v>52</v>
      </c>
    </row>
    <row r="21" spans="1:10" x14ac:dyDescent="0.2">
      <c r="A21" s="18" t="s">
        <v>92</v>
      </c>
      <c r="B21" s="18">
        <v>480</v>
      </c>
      <c r="C21" s="21" t="s">
        <v>53</v>
      </c>
      <c r="D21" s="18">
        <v>40</v>
      </c>
      <c r="E21" s="18" t="s">
        <v>18</v>
      </c>
      <c r="F21" s="18" t="s">
        <v>54</v>
      </c>
    </row>
    <row r="22" spans="1:10" x14ac:dyDescent="0.2">
      <c r="A22" s="18" t="s">
        <v>91</v>
      </c>
      <c r="B22" s="18">
        <v>576</v>
      </c>
      <c r="C22" s="21" t="s">
        <v>55</v>
      </c>
      <c r="D22" s="21">
        <v>48</v>
      </c>
      <c r="E22" s="18" t="s">
        <v>18</v>
      </c>
      <c r="F22" s="18" t="s">
        <v>56</v>
      </c>
      <c r="G22" s="22"/>
      <c r="H22" s="22"/>
      <c r="I22" s="22"/>
      <c r="J22" s="22"/>
    </row>
    <row r="23" spans="1:10" x14ac:dyDescent="0.2">
      <c r="A23" s="18" t="s">
        <v>93</v>
      </c>
      <c r="B23" s="18">
        <v>240</v>
      </c>
      <c r="C23" s="21" t="s">
        <v>57</v>
      </c>
      <c r="D23" s="21">
        <v>40</v>
      </c>
      <c r="G23" s="22"/>
      <c r="H23" s="22"/>
      <c r="I23" s="22"/>
      <c r="J23" s="22"/>
    </row>
    <row r="24" spans="1:10" x14ac:dyDescent="0.2">
      <c r="A24" s="18" t="s">
        <v>94</v>
      </c>
      <c r="B24" s="18">
        <v>480</v>
      </c>
      <c r="C24" s="21" t="s">
        <v>58</v>
      </c>
      <c r="D24" s="18">
        <v>20</v>
      </c>
      <c r="E24" s="18" t="s">
        <v>18</v>
      </c>
      <c r="F24" s="18" t="s">
        <v>96</v>
      </c>
    </row>
    <row r="25" spans="1:10" x14ac:dyDescent="0.2">
      <c r="A25" s="18" t="s">
        <v>103</v>
      </c>
      <c r="B25" s="18">
        <v>240</v>
      </c>
      <c r="C25" s="21" t="s">
        <v>97</v>
      </c>
      <c r="D25" s="18">
        <v>40</v>
      </c>
      <c r="E25" s="18" t="s">
        <v>18</v>
      </c>
      <c r="F25" s="18" t="s">
        <v>59</v>
      </c>
    </row>
    <row r="26" spans="1:10" x14ac:dyDescent="0.2">
      <c r="A26" s="18" t="s">
        <v>104</v>
      </c>
      <c r="B26" s="18">
        <v>240</v>
      </c>
      <c r="C26" s="21" t="s">
        <v>99</v>
      </c>
      <c r="D26" s="18">
        <v>20</v>
      </c>
      <c r="E26" s="18" t="s">
        <v>18</v>
      </c>
      <c r="F26" s="18" t="s">
        <v>98</v>
      </c>
    </row>
    <row r="27" spans="1:10" x14ac:dyDescent="0.2">
      <c r="A27" s="18" t="s">
        <v>105</v>
      </c>
      <c r="B27" s="18">
        <v>240</v>
      </c>
      <c r="C27" s="21" t="s">
        <v>101</v>
      </c>
      <c r="D27" s="18">
        <v>20</v>
      </c>
      <c r="E27" s="18" t="s">
        <v>18</v>
      </c>
      <c r="F27" s="18" t="s">
        <v>100</v>
      </c>
    </row>
    <row r="28" spans="1:10" x14ac:dyDescent="0.2">
      <c r="A28" s="18" t="s">
        <v>107</v>
      </c>
      <c r="B28" s="18">
        <v>240</v>
      </c>
      <c r="C28" s="21" t="s">
        <v>106</v>
      </c>
      <c r="D28" s="18">
        <v>20</v>
      </c>
      <c r="E28" s="18" t="s">
        <v>18</v>
      </c>
      <c r="F28" s="18" t="s">
        <v>102</v>
      </c>
    </row>
    <row r="29" spans="1:10" x14ac:dyDescent="0.2">
      <c r="A29" s="18" t="s">
        <v>121</v>
      </c>
      <c r="B29" s="18">
        <v>480</v>
      </c>
      <c r="C29" s="21" t="s">
        <v>128</v>
      </c>
      <c r="D29" s="18">
        <v>20</v>
      </c>
      <c r="E29" s="18" t="s">
        <v>18</v>
      </c>
      <c r="F29" s="18" t="s">
        <v>108</v>
      </c>
    </row>
    <row r="30" spans="1:10" x14ac:dyDescent="0.2">
      <c r="A30" s="18" t="s">
        <v>127</v>
      </c>
      <c r="B30" s="18">
        <v>720</v>
      </c>
      <c r="C30" s="21" t="s">
        <v>129</v>
      </c>
      <c r="D30" s="18">
        <v>20</v>
      </c>
      <c r="E30" s="18" t="s">
        <v>18</v>
      </c>
      <c r="F30" s="18" t="s">
        <v>116</v>
      </c>
    </row>
    <row r="31" spans="1:10" x14ac:dyDescent="0.2">
      <c r="A31" s="18" t="s">
        <v>120</v>
      </c>
      <c r="B31" s="18">
        <v>720</v>
      </c>
      <c r="C31" s="21" t="s">
        <v>130</v>
      </c>
      <c r="D31" s="18">
        <v>40</v>
      </c>
      <c r="E31" s="18" t="s">
        <v>18</v>
      </c>
      <c r="F31" s="18" t="s">
        <v>118</v>
      </c>
    </row>
    <row r="32" spans="1:10" x14ac:dyDescent="0.2">
      <c r="A32" s="18" t="s">
        <v>123</v>
      </c>
      <c r="B32" s="18">
        <v>240</v>
      </c>
      <c r="C32" s="21" t="s">
        <v>131</v>
      </c>
      <c r="D32" s="18">
        <v>40</v>
      </c>
      <c r="E32" s="18" t="s">
        <v>18</v>
      </c>
      <c r="F32" s="18" t="s">
        <v>119</v>
      </c>
    </row>
    <row r="33" spans="1:3" x14ac:dyDescent="0.2">
      <c r="A33" s="18" t="s">
        <v>126</v>
      </c>
      <c r="B33" s="18">
        <v>480</v>
      </c>
      <c r="C33" s="21" t="s">
        <v>132</v>
      </c>
    </row>
    <row r="34" spans="1:3" x14ac:dyDescent="0.2">
      <c r="A34" s="18" t="s">
        <v>125</v>
      </c>
      <c r="B34" s="18">
        <v>480</v>
      </c>
      <c r="C34" s="21" t="s">
        <v>133</v>
      </c>
    </row>
    <row r="35" spans="1:3" x14ac:dyDescent="0.2">
      <c r="A35" s="18" t="s">
        <v>124</v>
      </c>
      <c r="B35" s="18">
        <v>480</v>
      </c>
      <c r="C35" s="21" t="s">
        <v>134</v>
      </c>
    </row>
    <row r="36" spans="1:3" x14ac:dyDescent="0.2">
      <c r="A36" s="18" t="s">
        <v>122</v>
      </c>
      <c r="B36" s="18">
        <v>480</v>
      </c>
      <c r="C36" s="21" t="s">
        <v>135</v>
      </c>
    </row>
    <row r="37" spans="1:3" x14ac:dyDescent="0.2">
      <c r="A37" s="18" t="s">
        <v>109</v>
      </c>
      <c r="B37" s="21">
        <v>480</v>
      </c>
      <c r="C37" s="21" t="s">
        <v>110</v>
      </c>
    </row>
    <row r="38" spans="1:3" x14ac:dyDescent="0.2">
      <c r="A38" s="18" t="s">
        <v>112</v>
      </c>
      <c r="B38" s="18">
        <v>240</v>
      </c>
      <c r="C38" s="21" t="s">
        <v>111</v>
      </c>
    </row>
    <row r="39" spans="1:3" x14ac:dyDescent="0.2">
      <c r="A39" s="18" t="s">
        <v>113</v>
      </c>
      <c r="B39" s="18">
        <v>480</v>
      </c>
      <c r="C39" s="21" t="s">
        <v>117</v>
      </c>
    </row>
    <row r="40" spans="1:3" x14ac:dyDescent="0.2">
      <c r="A40" s="18" t="s">
        <v>114</v>
      </c>
      <c r="B40" s="18">
        <v>480</v>
      </c>
      <c r="C40" s="21" t="s">
        <v>136</v>
      </c>
    </row>
    <row r="43" spans="1:3" x14ac:dyDescent="0.2">
      <c r="C43" s="18"/>
    </row>
  </sheetData>
  <phoneticPr fontId="6" type="noConversion"/>
  <conditionalFormatting sqref="C37:C42">
    <cfRule type="duplicateValues" dxfId="2" priority="1"/>
  </conditionalFormatting>
  <conditionalFormatting sqref="C70:C71 C1:C36 C82:C1048576">
    <cfRule type="duplicateValues" dxfId="1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8AC75-DFA9-4538-AD33-0C034DF62666}">
  <sheetPr codeName="Sheet2"/>
  <dimension ref="A1:F16"/>
  <sheetViews>
    <sheetView tabSelected="1" workbookViewId="0">
      <selection activeCell="M26" sqref="M26"/>
    </sheetView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52" t="s">
        <v>137</v>
      </c>
      <c r="B1" s="52" t="s">
        <v>138</v>
      </c>
      <c r="C1" s="52" t="s">
        <v>139</v>
      </c>
      <c r="D1" s="52" t="s">
        <v>140</v>
      </c>
      <c r="E1" s="52" t="s">
        <v>141</v>
      </c>
      <c r="F1" s="52" t="s">
        <v>142</v>
      </c>
    </row>
    <row r="2" spans="1:6" x14ac:dyDescent="0.25">
      <c r="A2" t="s">
        <v>61</v>
      </c>
      <c r="B2" t="s">
        <v>26</v>
      </c>
      <c r="C2">
        <v>8</v>
      </c>
      <c r="D2">
        <v>720</v>
      </c>
      <c r="E2">
        <v>60</v>
      </c>
      <c r="F2">
        <v>480</v>
      </c>
    </row>
    <row r="3" spans="1:6" x14ac:dyDescent="0.25">
      <c r="A3" t="s">
        <v>120</v>
      </c>
      <c r="B3" t="s">
        <v>130</v>
      </c>
      <c r="C3">
        <v>10</v>
      </c>
      <c r="D3">
        <v>720</v>
      </c>
      <c r="E3">
        <v>60</v>
      </c>
      <c r="F3">
        <v>600</v>
      </c>
    </row>
    <row r="4" spans="1:6" x14ac:dyDescent="0.25">
      <c r="A4" t="s">
        <v>81</v>
      </c>
      <c r="B4" t="s">
        <v>14</v>
      </c>
      <c r="C4">
        <v>37</v>
      </c>
      <c r="D4">
        <v>720</v>
      </c>
      <c r="E4">
        <v>60</v>
      </c>
      <c r="F4">
        <v>2220</v>
      </c>
    </row>
    <row r="5" spans="1:6" x14ac:dyDescent="0.25">
      <c r="A5" t="s">
        <v>82</v>
      </c>
      <c r="B5" t="s">
        <v>23</v>
      </c>
      <c r="C5">
        <v>28</v>
      </c>
      <c r="D5">
        <v>600</v>
      </c>
      <c r="E5">
        <v>50</v>
      </c>
      <c r="F5">
        <v>1400</v>
      </c>
    </row>
    <row r="6" spans="1:6" x14ac:dyDescent="0.25">
      <c r="A6" t="s">
        <v>121</v>
      </c>
      <c r="B6" t="s">
        <v>128</v>
      </c>
      <c r="C6">
        <v>6</v>
      </c>
      <c r="D6">
        <v>480</v>
      </c>
      <c r="E6">
        <v>40</v>
      </c>
      <c r="F6">
        <v>240</v>
      </c>
    </row>
    <row r="7" spans="1:6" x14ac:dyDescent="0.25">
      <c r="A7" t="s">
        <v>67</v>
      </c>
      <c r="B7" t="s">
        <v>43</v>
      </c>
      <c r="C7">
        <v>8</v>
      </c>
      <c r="D7">
        <v>720</v>
      </c>
      <c r="E7">
        <v>60</v>
      </c>
      <c r="F7">
        <v>480</v>
      </c>
    </row>
    <row r="8" spans="1:6" x14ac:dyDescent="0.25">
      <c r="A8" t="s">
        <v>94</v>
      </c>
      <c r="B8" t="s">
        <v>58</v>
      </c>
      <c r="C8">
        <v>4</v>
      </c>
      <c r="D8">
        <v>480</v>
      </c>
      <c r="E8">
        <v>40</v>
      </c>
      <c r="F8">
        <v>160</v>
      </c>
    </row>
    <row r="9" spans="1:6" x14ac:dyDescent="0.25">
      <c r="A9" t="s">
        <v>122</v>
      </c>
      <c r="B9" t="s">
        <v>135</v>
      </c>
      <c r="C9">
        <v>1</v>
      </c>
      <c r="D9">
        <v>480</v>
      </c>
      <c r="E9">
        <v>40</v>
      </c>
      <c r="F9">
        <v>40</v>
      </c>
    </row>
    <row r="10" spans="1:6" x14ac:dyDescent="0.25">
      <c r="A10" t="s">
        <v>123</v>
      </c>
      <c r="B10" t="s">
        <v>131</v>
      </c>
      <c r="C10">
        <v>1</v>
      </c>
      <c r="D10">
        <v>240</v>
      </c>
      <c r="E10">
        <v>20</v>
      </c>
      <c r="F10">
        <v>20</v>
      </c>
    </row>
    <row r="11" spans="1:6" x14ac:dyDescent="0.25">
      <c r="A11" t="s">
        <v>124</v>
      </c>
      <c r="B11" t="s">
        <v>134</v>
      </c>
      <c r="C11">
        <v>3</v>
      </c>
      <c r="D11">
        <v>480</v>
      </c>
      <c r="E11">
        <v>40</v>
      </c>
      <c r="F11">
        <v>120</v>
      </c>
    </row>
    <row r="12" spans="1:6" x14ac:dyDescent="0.25">
      <c r="A12" t="s">
        <v>90</v>
      </c>
      <c r="B12" t="s">
        <v>51</v>
      </c>
      <c r="C12">
        <v>19</v>
      </c>
      <c r="D12">
        <v>480</v>
      </c>
      <c r="E12">
        <v>40</v>
      </c>
      <c r="F12">
        <v>760</v>
      </c>
    </row>
    <row r="13" spans="1:6" x14ac:dyDescent="0.25">
      <c r="A13" t="s">
        <v>92</v>
      </c>
      <c r="B13" t="s">
        <v>53</v>
      </c>
      <c r="C13">
        <v>12</v>
      </c>
      <c r="D13">
        <v>480</v>
      </c>
      <c r="E13">
        <v>40</v>
      </c>
      <c r="F13">
        <v>480</v>
      </c>
    </row>
    <row r="14" spans="1:6" x14ac:dyDescent="0.25">
      <c r="A14" t="s">
        <v>125</v>
      </c>
      <c r="B14" t="s">
        <v>133</v>
      </c>
      <c r="C14">
        <v>11</v>
      </c>
      <c r="D14">
        <v>480</v>
      </c>
      <c r="E14">
        <v>40</v>
      </c>
      <c r="F14">
        <v>440</v>
      </c>
    </row>
    <row r="15" spans="1:6" x14ac:dyDescent="0.25">
      <c r="A15" t="s">
        <v>126</v>
      </c>
      <c r="B15" t="s">
        <v>132</v>
      </c>
      <c r="C15">
        <v>20</v>
      </c>
      <c r="D15">
        <v>480</v>
      </c>
      <c r="E15">
        <v>40</v>
      </c>
      <c r="F15">
        <v>800</v>
      </c>
    </row>
    <row r="16" spans="1:6" x14ac:dyDescent="0.25">
      <c r="A16" t="s">
        <v>127</v>
      </c>
      <c r="B16" t="s">
        <v>129</v>
      </c>
      <c r="C16">
        <v>2</v>
      </c>
      <c r="D16">
        <v>720</v>
      </c>
      <c r="E16">
        <v>60</v>
      </c>
      <c r="F16">
        <v>120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1F9C0-9642-4975-B988-B3C54950F440}">
  <sheetPr codeName="Sheet3"/>
  <dimension ref="A1:BM174"/>
  <sheetViews>
    <sheetView workbookViewId="0"/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12" width="13.7109375" bestFit="1" customWidth="1"/>
    <col min="13" max="63" width="14.7109375" bestFit="1" customWidth="1"/>
    <col min="64" max="64" width="17.7109375" bestFit="1" customWidth="1"/>
    <col min="65" max="65" width="13.85546875" bestFit="1" customWidth="1"/>
  </cols>
  <sheetData>
    <row r="1" spans="1:65" x14ac:dyDescent="0.25">
      <c r="A1" t="s">
        <v>137</v>
      </c>
      <c r="B1" t="s">
        <v>143</v>
      </c>
      <c r="C1" t="s">
        <v>144</v>
      </c>
      <c r="D1" t="s">
        <v>145</v>
      </c>
      <c r="E1" t="s">
        <v>146</v>
      </c>
      <c r="F1" t="s">
        <v>147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174</v>
      </c>
      <c r="AF1" t="s">
        <v>175</v>
      </c>
      <c r="AG1" t="s">
        <v>176</v>
      </c>
      <c r="AH1" t="s">
        <v>177</v>
      </c>
      <c r="AI1" t="s">
        <v>178</v>
      </c>
      <c r="AJ1" t="s">
        <v>179</v>
      </c>
      <c r="AK1" t="s">
        <v>180</v>
      </c>
      <c r="AL1" t="s">
        <v>181</v>
      </c>
      <c r="AM1" t="s">
        <v>182</v>
      </c>
      <c r="AN1" t="s">
        <v>183</v>
      </c>
      <c r="AO1" t="s">
        <v>184</v>
      </c>
      <c r="AP1" t="s">
        <v>185</v>
      </c>
      <c r="AQ1" t="s">
        <v>186</v>
      </c>
      <c r="AR1" t="s">
        <v>187</v>
      </c>
      <c r="AS1" t="s">
        <v>188</v>
      </c>
      <c r="AT1" t="s">
        <v>189</v>
      </c>
      <c r="AU1" t="s">
        <v>190</v>
      </c>
      <c r="AV1" t="s">
        <v>191</v>
      </c>
      <c r="AW1" t="s">
        <v>192</v>
      </c>
      <c r="AX1" t="s">
        <v>193</v>
      </c>
      <c r="AY1" t="s">
        <v>194</v>
      </c>
      <c r="AZ1" t="s">
        <v>195</v>
      </c>
      <c r="BA1" t="s">
        <v>196</v>
      </c>
      <c r="BB1" t="s">
        <v>197</v>
      </c>
      <c r="BC1" t="s">
        <v>198</v>
      </c>
      <c r="BD1" t="s">
        <v>199</v>
      </c>
      <c r="BE1" t="s">
        <v>200</v>
      </c>
      <c r="BF1" t="s">
        <v>201</v>
      </c>
      <c r="BG1" t="s">
        <v>202</v>
      </c>
      <c r="BH1" t="s">
        <v>203</v>
      </c>
      <c r="BI1" t="s">
        <v>204</v>
      </c>
      <c r="BJ1" t="s">
        <v>205</v>
      </c>
      <c r="BK1" t="s">
        <v>206</v>
      </c>
      <c r="BL1" t="s">
        <v>148</v>
      </c>
      <c r="BM1" t="s">
        <v>149</v>
      </c>
    </row>
    <row r="2" spans="1:65" x14ac:dyDescent="0.25">
      <c r="A2" t="s">
        <v>61</v>
      </c>
      <c r="B2" t="s">
        <v>26</v>
      </c>
      <c r="C2">
        <v>720</v>
      </c>
      <c r="D2">
        <v>701.5</v>
      </c>
      <c r="BL2">
        <v>701.5</v>
      </c>
      <c r="BM2">
        <v>18.5</v>
      </c>
    </row>
    <row r="3" spans="1:65" x14ac:dyDescent="0.25">
      <c r="A3" t="s">
        <v>61</v>
      </c>
      <c r="B3" t="s">
        <v>26</v>
      </c>
      <c r="C3">
        <v>720</v>
      </c>
      <c r="D3">
        <v>701.5</v>
      </c>
      <c r="BL3">
        <v>701.5</v>
      </c>
      <c r="BM3">
        <v>18.5</v>
      </c>
    </row>
    <row r="4" spans="1:65" x14ac:dyDescent="0.25">
      <c r="A4" t="s">
        <v>61</v>
      </c>
      <c r="B4" t="s">
        <v>26</v>
      </c>
      <c r="C4">
        <v>720</v>
      </c>
      <c r="D4">
        <v>686.5</v>
      </c>
      <c r="BL4">
        <v>686.5</v>
      </c>
      <c r="BM4">
        <v>33.5</v>
      </c>
    </row>
    <row r="5" spans="1:65" x14ac:dyDescent="0.25">
      <c r="A5" t="s">
        <v>61</v>
      </c>
      <c r="B5" t="s">
        <v>26</v>
      </c>
      <c r="C5">
        <v>720</v>
      </c>
      <c r="D5">
        <v>686.5</v>
      </c>
      <c r="BL5">
        <v>686.5</v>
      </c>
      <c r="BM5">
        <v>33.5</v>
      </c>
    </row>
    <row r="6" spans="1:65" x14ac:dyDescent="0.25">
      <c r="A6" t="s">
        <v>61</v>
      </c>
      <c r="B6" t="s">
        <v>26</v>
      </c>
      <c r="C6">
        <v>720</v>
      </c>
      <c r="D6">
        <v>678.5</v>
      </c>
      <c r="BL6">
        <v>678.5</v>
      </c>
      <c r="BM6">
        <v>41.5</v>
      </c>
    </row>
    <row r="7" spans="1:65" x14ac:dyDescent="0.25">
      <c r="A7" t="s">
        <v>61</v>
      </c>
      <c r="B7" t="s">
        <v>26</v>
      </c>
      <c r="C7">
        <v>720</v>
      </c>
      <c r="D7">
        <v>678.5</v>
      </c>
      <c r="BL7">
        <v>678.5</v>
      </c>
      <c r="BM7">
        <v>41.5</v>
      </c>
    </row>
    <row r="8" spans="1:65" x14ac:dyDescent="0.25">
      <c r="A8" t="s">
        <v>61</v>
      </c>
      <c r="B8" t="s">
        <v>26</v>
      </c>
      <c r="C8">
        <v>720</v>
      </c>
      <c r="D8">
        <v>655.5</v>
      </c>
      <c r="BL8">
        <v>655.5</v>
      </c>
      <c r="BM8">
        <v>64.5</v>
      </c>
    </row>
    <row r="9" spans="1:65" x14ac:dyDescent="0.25">
      <c r="A9" t="s">
        <v>61</v>
      </c>
      <c r="B9" t="s">
        <v>26</v>
      </c>
      <c r="C9">
        <v>720</v>
      </c>
      <c r="D9">
        <v>655.5</v>
      </c>
      <c r="BL9">
        <v>655.5</v>
      </c>
      <c r="BM9">
        <v>64.5</v>
      </c>
    </row>
    <row r="10" spans="1:65" x14ac:dyDescent="0.25">
      <c r="A10" t="s">
        <v>120</v>
      </c>
      <c r="B10" t="s">
        <v>130</v>
      </c>
      <c r="C10">
        <v>720</v>
      </c>
      <c r="D10">
        <v>701.625</v>
      </c>
      <c r="BL10">
        <v>701.625</v>
      </c>
      <c r="BM10">
        <v>18.375</v>
      </c>
    </row>
    <row r="11" spans="1:65" x14ac:dyDescent="0.25">
      <c r="A11" t="s">
        <v>120</v>
      </c>
      <c r="B11" t="s">
        <v>130</v>
      </c>
      <c r="C11">
        <v>720</v>
      </c>
      <c r="D11">
        <v>701.625</v>
      </c>
      <c r="BL11">
        <v>701.625</v>
      </c>
      <c r="BM11">
        <v>18.375</v>
      </c>
    </row>
    <row r="12" spans="1:65" x14ac:dyDescent="0.25">
      <c r="A12" t="s">
        <v>120</v>
      </c>
      <c r="B12" t="s">
        <v>130</v>
      </c>
      <c r="C12">
        <v>720</v>
      </c>
      <c r="D12">
        <v>686.5</v>
      </c>
      <c r="BL12">
        <v>686.5</v>
      </c>
      <c r="BM12">
        <v>33.5</v>
      </c>
    </row>
    <row r="13" spans="1:65" x14ac:dyDescent="0.25">
      <c r="A13" t="s">
        <v>120</v>
      </c>
      <c r="B13" t="s">
        <v>130</v>
      </c>
      <c r="C13">
        <v>720</v>
      </c>
      <c r="D13">
        <v>686.5</v>
      </c>
      <c r="BL13">
        <v>686.5</v>
      </c>
      <c r="BM13">
        <v>33.5</v>
      </c>
    </row>
    <row r="14" spans="1:65" x14ac:dyDescent="0.25">
      <c r="A14" t="s">
        <v>120</v>
      </c>
      <c r="B14" t="s">
        <v>130</v>
      </c>
      <c r="C14">
        <v>720</v>
      </c>
      <c r="D14">
        <v>678.5</v>
      </c>
      <c r="BL14">
        <v>678.5</v>
      </c>
      <c r="BM14">
        <v>41.5</v>
      </c>
    </row>
    <row r="15" spans="1:65" x14ac:dyDescent="0.25">
      <c r="A15" t="s">
        <v>120</v>
      </c>
      <c r="B15" t="s">
        <v>130</v>
      </c>
      <c r="C15">
        <v>720</v>
      </c>
      <c r="D15">
        <v>678.5</v>
      </c>
      <c r="BL15">
        <v>678.5</v>
      </c>
      <c r="BM15">
        <v>41.5</v>
      </c>
    </row>
    <row r="16" spans="1:65" x14ac:dyDescent="0.25">
      <c r="A16" t="s">
        <v>120</v>
      </c>
      <c r="B16" t="s">
        <v>130</v>
      </c>
      <c r="C16">
        <v>720</v>
      </c>
      <c r="D16">
        <v>655.625</v>
      </c>
      <c r="BL16">
        <v>655.625</v>
      </c>
      <c r="BM16">
        <v>64.375</v>
      </c>
    </row>
    <row r="17" spans="1:65" x14ac:dyDescent="0.25">
      <c r="A17" t="s">
        <v>120</v>
      </c>
      <c r="B17" t="s">
        <v>130</v>
      </c>
      <c r="C17">
        <v>720</v>
      </c>
      <c r="D17">
        <v>655.625</v>
      </c>
      <c r="BL17">
        <v>655.625</v>
      </c>
      <c r="BM17">
        <v>64.375</v>
      </c>
    </row>
    <row r="18" spans="1:65" x14ac:dyDescent="0.25">
      <c r="A18" t="s">
        <v>120</v>
      </c>
      <c r="B18" t="s">
        <v>130</v>
      </c>
      <c r="C18">
        <v>720</v>
      </c>
      <c r="D18">
        <v>203</v>
      </c>
      <c r="E18">
        <v>203</v>
      </c>
      <c r="F18">
        <v>203</v>
      </c>
      <c r="BL18">
        <v>609</v>
      </c>
      <c r="BM18">
        <v>111</v>
      </c>
    </row>
    <row r="19" spans="1:65" x14ac:dyDescent="0.25">
      <c r="A19" t="s">
        <v>120</v>
      </c>
      <c r="B19" t="s">
        <v>130</v>
      </c>
      <c r="C19">
        <v>720</v>
      </c>
      <c r="D19">
        <v>203</v>
      </c>
      <c r="BL19">
        <v>203</v>
      </c>
      <c r="BM19">
        <v>517</v>
      </c>
    </row>
    <row r="20" spans="1:65" x14ac:dyDescent="0.25">
      <c r="A20" t="s">
        <v>81</v>
      </c>
      <c r="B20" t="s">
        <v>14</v>
      </c>
      <c r="C20">
        <v>720</v>
      </c>
      <c r="D20">
        <v>203</v>
      </c>
      <c r="E20">
        <v>203</v>
      </c>
      <c r="F20">
        <v>203</v>
      </c>
      <c r="G20">
        <v>92.5</v>
      </c>
      <c r="BL20">
        <v>701.5</v>
      </c>
      <c r="BM20">
        <v>18.5</v>
      </c>
    </row>
    <row r="21" spans="1:65" x14ac:dyDescent="0.25">
      <c r="A21" t="s">
        <v>81</v>
      </c>
      <c r="B21" t="s">
        <v>14</v>
      </c>
      <c r="C21">
        <v>720</v>
      </c>
      <c r="D21">
        <v>203</v>
      </c>
      <c r="E21">
        <v>203</v>
      </c>
      <c r="F21">
        <v>203</v>
      </c>
      <c r="G21">
        <v>92.5</v>
      </c>
      <c r="BL21">
        <v>701.5</v>
      </c>
      <c r="BM21">
        <v>18.5</v>
      </c>
    </row>
    <row r="22" spans="1:65" x14ac:dyDescent="0.25">
      <c r="A22" t="s">
        <v>81</v>
      </c>
      <c r="B22" t="s">
        <v>14</v>
      </c>
      <c r="C22">
        <v>720</v>
      </c>
      <c r="D22">
        <v>203</v>
      </c>
      <c r="E22">
        <v>203</v>
      </c>
      <c r="F22">
        <v>203</v>
      </c>
      <c r="G22">
        <v>92.5</v>
      </c>
      <c r="BL22">
        <v>701.5</v>
      </c>
      <c r="BM22">
        <v>18.5</v>
      </c>
    </row>
    <row r="23" spans="1:65" x14ac:dyDescent="0.25">
      <c r="A23" t="s">
        <v>81</v>
      </c>
      <c r="B23" t="s">
        <v>14</v>
      </c>
      <c r="C23">
        <v>720</v>
      </c>
      <c r="D23">
        <v>203</v>
      </c>
      <c r="E23">
        <v>203</v>
      </c>
      <c r="F23">
        <v>203</v>
      </c>
      <c r="G23">
        <v>80.25</v>
      </c>
      <c r="BL23">
        <v>689.25</v>
      </c>
      <c r="BM23">
        <v>30.75</v>
      </c>
    </row>
    <row r="24" spans="1:65" x14ac:dyDescent="0.25">
      <c r="A24" t="s">
        <v>81</v>
      </c>
      <c r="B24" t="s">
        <v>14</v>
      </c>
      <c r="C24">
        <v>720</v>
      </c>
      <c r="D24">
        <v>203</v>
      </c>
      <c r="E24">
        <v>203</v>
      </c>
      <c r="F24">
        <v>203</v>
      </c>
      <c r="G24">
        <v>80.25</v>
      </c>
      <c r="BL24">
        <v>689.25</v>
      </c>
      <c r="BM24">
        <v>30.75</v>
      </c>
    </row>
    <row r="25" spans="1:65" x14ac:dyDescent="0.25">
      <c r="A25" t="s">
        <v>81</v>
      </c>
      <c r="B25" t="s">
        <v>14</v>
      </c>
      <c r="C25">
        <v>720</v>
      </c>
      <c r="D25">
        <v>203</v>
      </c>
      <c r="E25">
        <v>203</v>
      </c>
      <c r="F25">
        <v>203</v>
      </c>
      <c r="G25">
        <v>80.25</v>
      </c>
      <c r="BL25">
        <v>689.25</v>
      </c>
      <c r="BM25">
        <v>30.75</v>
      </c>
    </row>
    <row r="26" spans="1:65" x14ac:dyDescent="0.25">
      <c r="A26" t="s">
        <v>81</v>
      </c>
      <c r="B26" t="s">
        <v>14</v>
      </c>
      <c r="C26">
        <v>720</v>
      </c>
      <c r="D26">
        <v>203</v>
      </c>
      <c r="E26">
        <v>203</v>
      </c>
      <c r="F26">
        <v>203</v>
      </c>
      <c r="G26">
        <v>80</v>
      </c>
      <c r="BL26">
        <v>689</v>
      </c>
      <c r="BM26">
        <v>31</v>
      </c>
    </row>
    <row r="27" spans="1:65" x14ac:dyDescent="0.25">
      <c r="A27" t="s">
        <v>81</v>
      </c>
      <c r="B27" t="s">
        <v>14</v>
      </c>
      <c r="C27">
        <v>720</v>
      </c>
      <c r="D27">
        <v>203</v>
      </c>
      <c r="E27">
        <v>203</v>
      </c>
      <c r="F27">
        <v>203</v>
      </c>
      <c r="G27">
        <v>79.5</v>
      </c>
      <c r="BL27">
        <v>688.5</v>
      </c>
      <c r="BM27">
        <v>31.5</v>
      </c>
    </row>
    <row r="28" spans="1:65" x14ac:dyDescent="0.25">
      <c r="A28" t="s">
        <v>81</v>
      </c>
      <c r="B28" t="s">
        <v>14</v>
      </c>
      <c r="C28">
        <v>720</v>
      </c>
      <c r="D28">
        <v>203</v>
      </c>
      <c r="E28">
        <v>203</v>
      </c>
      <c r="F28">
        <v>203</v>
      </c>
      <c r="G28">
        <v>79.5</v>
      </c>
      <c r="BL28">
        <v>688.5</v>
      </c>
      <c r="BM28">
        <v>31.5</v>
      </c>
    </row>
    <row r="29" spans="1:65" x14ac:dyDescent="0.25">
      <c r="A29" t="s">
        <v>81</v>
      </c>
      <c r="B29" t="s">
        <v>14</v>
      </c>
      <c r="C29">
        <v>720</v>
      </c>
      <c r="D29">
        <v>203</v>
      </c>
      <c r="E29">
        <v>203</v>
      </c>
      <c r="F29">
        <v>203</v>
      </c>
      <c r="G29">
        <v>76.25</v>
      </c>
      <c r="BL29">
        <v>685.25</v>
      </c>
      <c r="BM29">
        <v>34.75</v>
      </c>
    </row>
    <row r="30" spans="1:65" x14ac:dyDescent="0.25">
      <c r="A30" t="s">
        <v>81</v>
      </c>
      <c r="B30" t="s">
        <v>14</v>
      </c>
      <c r="C30">
        <v>720</v>
      </c>
      <c r="D30">
        <v>203</v>
      </c>
      <c r="E30">
        <v>203</v>
      </c>
      <c r="F30">
        <v>203</v>
      </c>
      <c r="G30">
        <v>76.25</v>
      </c>
      <c r="BL30">
        <v>685.25</v>
      </c>
      <c r="BM30">
        <v>34.75</v>
      </c>
    </row>
    <row r="31" spans="1:65" x14ac:dyDescent="0.25">
      <c r="A31" t="s">
        <v>81</v>
      </c>
      <c r="B31" t="s">
        <v>14</v>
      </c>
      <c r="C31">
        <v>720</v>
      </c>
      <c r="D31">
        <v>203</v>
      </c>
      <c r="E31">
        <v>203</v>
      </c>
      <c r="F31">
        <v>203</v>
      </c>
      <c r="G31">
        <v>76.25</v>
      </c>
      <c r="BL31">
        <v>685.25</v>
      </c>
      <c r="BM31">
        <v>34.75</v>
      </c>
    </row>
    <row r="32" spans="1:65" x14ac:dyDescent="0.25">
      <c r="A32" t="s">
        <v>81</v>
      </c>
      <c r="B32" t="s">
        <v>14</v>
      </c>
      <c r="C32">
        <v>720</v>
      </c>
      <c r="D32">
        <v>203</v>
      </c>
      <c r="E32">
        <v>203</v>
      </c>
      <c r="F32">
        <v>203</v>
      </c>
      <c r="G32">
        <v>75.25</v>
      </c>
      <c r="BL32">
        <v>684.25</v>
      </c>
      <c r="BM32">
        <v>35.75</v>
      </c>
    </row>
    <row r="33" spans="1:65" x14ac:dyDescent="0.25">
      <c r="A33" t="s">
        <v>81</v>
      </c>
      <c r="B33" t="s">
        <v>14</v>
      </c>
      <c r="C33">
        <v>720</v>
      </c>
      <c r="D33">
        <v>203</v>
      </c>
      <c r="E33">
        <v>203</v>
      </c>
      <c r="F33">
        <v>203</v>
      </c>
      <c r="G33">
        <v>73</v>
      </c>
      <c r="BL33">
        <v>682</v>
      </c>
      <c r="BM33">
        <v>38</v>
      </c>
    </row>
    <row r="34" spans="1:65" x14ac:dyDescent="0.25">
      <c r="A34" t="s">
        <v>81</v>
      </c>
      <c r="B34" t="s">
        <v>14</v>
      </c>
      <c r="C34">
        <v>720</v>
      </c>
      <c r="D34">
        <v>203</v>
      </c>
      <c r="E34">
        <v>203</v>
      </c>
      <c r="F34">
        <v>203</v>
      </c>
      <c r="G34">
        <v>72.75</v>
      </c>
      <c r="BL34">
        <v>681.75</v>
      </c>
      <c r="BM34">
        <v>38.25</v>
      </c>
    </row>
    <row r="35" spans="1:65" x14ac:dyDescent="0.25">
      <c r="A35" t="s">
        <v>81</v>
      </c>
      <c r="B35" t="s">
        <v>14</v>
      </c>
      <c r="C35">
        <v>720</v>
      </c>
      <c r="D35">
        <v>203</v>
      </c>
      <c r="E35">
        <v>203</v>
      </c>
      <c r="F35">
        <v>203</v>
      </c>
      <c r="G35">
        <v>72.25</v>
      </c>
      <c r="BL35">
        <v>681.25</v>
      </c>
      <c r="BM35">
        <v>38.75</v>
      </c>
    </row>
    <row r="36" spans="1:65" x14ac:dyDescent="0.25">
      <c r="A36" t="s">
        <v>81</v>
      </c>
      <c r="B36" t="s">
        <v>14</v>
      </c>
      <c r="C36">
        <v>720</v>
      </c>
      <c r="D36">
        <v>203</v>
      </c>
      <c r="E36">
        <v>203</v>
      </c>
      <c r="F36">
        <v>203</v>
      </c>
      <c r="G36">
        <v>72.25</v>
      </c>
      <c r="BL36">
        <v>681.25</v>
      </c>
      <c r="BM36">
        <v>38.75</v>
      </c>
    </row>
    <row r="37" spans="1:65" x14ac:dyDescent="0.25">
      <c r="A37" t="s">
        <v>81</v>
      </c>
      <c r="B37" t="s">
        <v>14</v>
      </c>
      <c r="C37">
        <v>720</v>
      </c>
      <c r="D37">
        <v>203</v>
      </c>
      <c r="E37">
        <v>203</v>
      </c>
      <c r="F37">
        <v>203</v>
      </c>
      <c r="G37">
        <v>72</v>
      </c>
      <c r="BL37">
        <v>681</v>
      </c>
      <c r="BM37">
        <v>39</v>
      </c>
    </row>
    <row r="38" spans="1:65" x14ac:dyDescent="0.25">
      <c r="A38" t="s">
        <v>81</v>
      </c>
      <c r="B38" t="s">
        <v>14</v>
      </c>
      <c r="C38">
        <v>720</v>
      </c>
      <c r="D38">
        <v>203</v>
      </c>
      <c r="E38">
        <v>203</v>
      </c>
      <c r="F38">
        <v>203</v>
      </c>
      <c r="G38">
        <v>72</v>
      </c>
      <c r="BL38">
        <v>681</v>
      </c>
      <c r="BM38">
        <v>39</v>
      </c>
    </row>
    <row r="39" spans="1:65" x14ac:dyDescent="0.25">
      <c r="A39" t="s">
        <v>81</v>
      </c>
      <c r="B39" t="s">
        <v>14</v>
      </c>
      <c r="C39">
        <v>720</v>
      </c>
      <c r="D39">
        <v>203</v>
      </c>
      <c r="E39">
        <v>203</v>
      </c>
      <c r="F39">
        <v>203</v>
      </c>
      <c r="G39">
        <v>72</v>
      </c>
      <c r="BL39">
        <v>681</v>
      </c>
      <c r="BM39">
        <v>39</v>
      </c>
    </row>
    <row r="40" spans="1:65" x14ac:dyDescent="0.25">
      <c r="A40" t="s">
        <v>81</v>
      </c>
      <c r="B40" t="s">
        <v>14</v>
      </c>
      <c r="C40">
        <v>720</v>
      </c>
      <c r="D40">
        <v>203</v>
      </c>
      <c r="E40">
        <v>203</v>
      </c>
      <c r="F40">
        <v>203</v>
      </c>
      <c r="G40">
        <v>70.5</v>
      </c>
      <c r="BL40">
        <v>679.5</v>
      </c>
      <c r="BM40">
        <v>40.5</v>
      </c>
    </row>
    <row r="41" spans="1:65" x14ac:dyDescent="0.25">
      <c r="A41" t="s">
        <v>81</v>
      </c>
      <c r="B41" t="s">
        <v>14</v>
      </c>
      <c r="C41">
        <v>720</v>
      </c>
      <c r="D41">
        <v>203</v>
      </c>
      <c r="E41">
        <v>203</v>
      </c>
      <c r="F41">
        <v>203</v>
      </c>
      <c r="G41">
        <v>70.5</v>
      </c>
      <c r="BL41">
        <v>679.5</v>
      </c>
      <c r="BM41">
        <v>40.5</v>
      </c>
    </row>
    <row r="42" spans="1:65" x14ac:dyDescent="0.25">
      <c r="A42" t="s">
        <v>81</v>
      </c>
      <c r="B42" t="s">
        <v>14</v>
      </c>
      <c r="C42">
        <v>720</v>
      </c>
      <c r="D42">
        <v>203</v>
      </c>
      <c r="E42">
        <v>203</v>
      </c>
      <c r="F42">
        <v>203</v>
      </c>
      <c r="G42">
        <v>70.5</v>
      </c>
      <c r="BL42">
        <v>679.5</v>
      </c>
      <c r="BM42">
        <v>40.5</v>
      </c>
    </row>
    <row r="43" spans="1:65" x14ac:dyDescent="0.25">
      <c r="A43" t="s">
        <v>81</v>
      </c>
      <c r="B43" t="s">
        <v>14</v>
      </c>
      <c r="C43">
        <v>720</v>
      </c>
      <c r="D43">
        <v>203</v>
      </c>
      <c r="E43">
        <v>203</v>
      </c>
      <c r="F43">
        <v>203</v>
      </c>
      <c r="G43">
        <v>70.5</v>
      </c>
      <c r="BL43">
        <v>679.5</v>
      </c>
      <c r="BM43">
        <v>40.5</v>
      </c>
    </row>
    <row r="44" spans="1:65" x14ac:dyDescent="0.25">
      <c r="A44" t="s">
        <v>81</v>
      </c>
      <c r="B44" t="s">
        <v>14</v>
      </c>
      <c r="C44">
        <v>720</v>
      </c>
      <c r="D44">
        <v>203</v>
      </c>
      <c r="E44">
        <v>203</v>
      </c>
      <c r="F44">
        <v>203</v>
      </c>
      <c r="G44">
        <v>69.5</v>
      </c>
      <c r="BL44">
        <v>678.5</v>
      </c>
      <c r="BM44">
        <v>41.5</v>
      </c>
    </row>
    <row r="45" spans="1:65" x14ac:dyDescent="0.25">
      <c r="A45" t="s">
        <v>81</v>
      </c>
      <c r="B45" t="s">
        <v>14</v>
      </c>
      <c r="C45">
        <v>720</v>
      </c>
      <c r="D45">
        <v>203</v>
      </c>
      <c r="E45">
        <v>203</v>
      </c>
      <c r="F45">
        <v>203</v>
      </c>
      <c r="G45">
        <v>68.5</v>
      </c>
      <c r="BL45">
        <v>677.5</v>
      </c>
      <c r="BM45">
        <v>42.5</v>
      </c>
    </row>
    <row r="46" spans="1:65" x14ac:dyDescent="0.25">
      <c r="A46" t="s">
        <v>81</v>
      </c>
      <c r="B46" t="s">
        <v>14</v>
      </c>
      <c r="C46">
        <v>720</v>
      </c>
      <c r="D46">
        <v>203</v>
      </c>
      <c r="E46">
        <v>203</v>
      </c>
      <c r="F46">
        <v>203</v>
      </c>
      <c r="G46">
        <v>68.5</v>
      </c>
      <c r="BL46">
        <v>677.5</v>
      </c>
      <c r="BM46">
        <v>42.5</v>
      </c>
    </row>
    <row r="47" spans="1:65" x14ac:dyDescent="0.25">
      <c r="A47" t="s">
        <v>81</v>
      </c>
      <c r="B47" t="s">
        <v>14</v>
      </c>
      <c r="C47">
        <v>720</v>
      </c>
      <c r="D47">
        <v>203</v>
      </c>
      <c r="E47">
        <v>203</v>
      </c>
      <c r="F47">
        <v>203</v>
      </c>
      <c r="G47">
        <v>68.5</v>
      </c>
      <c r="BL47">
        <v>677.5</v>
      </c>
      <c r="BM47">
        <v>42.5</v>
      </c>
    </row>
    <row r="48" spans="1:65" x14ac:dyDescent="0.25">
      <c r="A48" t="s">
        <v>81</v>
      </c>
      <c r="B48" t="s">
        <v>14</v>
      </c>
      <c r="C48">
        <v>720</v>
      </c>
      <c r="D48">
        <v>203</v>
      </c>
      <c r="E48">
        <v>203</v>
      </c>
      <c r="F48">
        <v>135.5</v>
      </c>
      <c r="G48">
        <v>135.5</v>
      </c>
      <c r="BL48">
        <v>677</v>
      </c>
      <c r="BM48">
        <v>43</v>
      </c>
    </row>
    <row r="49" spans="1:65" x14ac:dyDescent="0.25">
      <c r="A49" t="s">
        <v>81</v>
      </c>
      <c r="B49" t="s">
        <v>14</v>
      </c>
      <c r="C49">
        <v>720</v>
      </c>
      <c r="D49">
        <v>135.5</v>
      </c>
      <c r="E49">
        <v>135.5</v>
      </c>
      <c r="F49">
        <v>131.25</v>
      </c>
      <c r="G49">
        <v>129.75</v>
      </c>
      <c r="H49">
        <v>113.375</v>
      </c>
      <c r="I49">
        <v>68.5</v>
      </c>
      <c r="BL49">
        <v>713.875</v>
      </c>
      <c r="BM49">
        <v>6.125</v>
      </c>
    </row>
    <row r="50" spans="1:65" x14ac:dyDescent="0.25">
      <c r="A50" t="s">
        <v>81</v>
      </c>
      <c r="B50" t="s">
        <v>14</v>
      </c>
      <c r="C50">
        <v>720</v>
      </c>
      <c r="D50">
        <v>112.25</v>
      </c>
      <c r="E50">
        <v>112.25</v>
      </c>
      <c r="F50">
        <v>112.25</v>
      </c>
      <c r="G50">
        <v>112</v>
      </c>
      <c r="H50">
        <v>112</v>
      </c>
      <c r="I50">
        <v>112</v>
      </c>
      <c r="J50">
        <v>44.5</v>
      </c>
      <c r="BL50">
        <v>717.25</v>
      </c>
      <c r="BM50">
        <v>2.75</v>
      </c>
    </row>
    <row r="51" spans="1:65" x14ac:dyDescent="0.25">
      <c r="A51" t="s">
        <v>81</v>
      </c>
      <c r="B51" t="s">
        <v>14</v>
      </c>
      <c r="C51">
        <v>720</v>
      </c>
      <c r="D51">
        <v>68.5</v>
      </c>
      <c r="E51">
        <v>68.5</v>
      </c>
      <c r="F51">
        <v>68.5</v>
      </c>
      <c r="G51">
        <v>68.5</v>
      </c>
      <c r="H51">
        <v>66.5</v>
      </c>
      <c r="I51">
        <v>66.5</v>
      </c>
      <c r="J51">
        <v>66.5</v>
      </c>
      <c r="K51">
        <v>66.5</v>
      </c>
      <c r="L51">
        <v>66.5</v>
      </c>
      <c r="M51">
        <v>66.5</v>
      </c>
      <c r="N51">
        <v>44.5</v>
      </c>
      <c r="BL51">
        <v>717.5</v>
      </c>
      <c r="BM51">
        <v>2.5</v>
      </c>
    </row>
    <row r="52" spans="1:65" x14ac:dyDescent="0.25">
      <c r="A52" t="s">
        <v>81</v>
      </c>
      <c r="B52" t="s">
        <v>14</v>
      </c>
      <c r="C52">
        <v>720</v>
      </c>
      <c r="D52">
        <v>66.5</v>
      </c>
      <c r="E52">
        <v>66.5</v>
      </c>
      <c r="F52">
        <v>65.75</v>
      </c>
      <c r="G52">
        <v>64.5</v>
      </c>
      <c r="H52">
        <v>64.5</v>
      </c>
      <c r="I52">
        <v>64.5</v>
      </c>
      <c r="J52">
        <v>64.5</v>
      </c>
      <c r="K52">
        <v>64.5</v>
      </c>
      <c r="L52">
        <v>64.5</v>
      </c>
      <c r="M52">
        <v>64.5</v>
      </c>
      <c r="N52">
        <v>64.5</v>
      </c>
      <c r="BL52">
        <v>714.75</v>
      </c>
      <c r="BM52">
        <v>5.25</v>
      </c>
    </row>
    <row r="53" spans="1:65" x14ac:dyDescent="0.25">
      <c r="A53" t="s">
        <v>81</v>
      </c>
      <c r="B53" t="s">
        <v>14</v>
      </c>
      <c r="C53">
        <v>720</v>
      </c>
      <c r="D53">
        <v>64.5</v>
      </c>
      <c r="E53">
        <v>64.5</v>
      </c>
      <c r="F53">
        <v>64.5</v>
      </c>
      <c r="G53">
        <v>64.5</v>
      </c>
      <c r="H53">
        <v>64.5</v>
      </c>
      <c r="I53">
        <v>64.5</v>
      </c>
      <c r="J53">
        <v>64.5</v>
      </c>
      <c r="K53">
        <v>64.5</v>
      </c>
      <c r="L53">
        <v>64.5</v>
      </c>
      <c r="M53">
        <v>64.5</v>
      </c>
      <c r="N53">
        <v>64.5</v>
      </c>
      <c r="BL53">
        <v>709.5</v>
      </c>
      <c r="BM53">
        <v>10.5</v>
      </c>
    </row>
    <row r="54" spans="1:65" x14ac:dyDescent="0.25">
      <c r="A54" t="s">
        <v>81</v>
      </c>
      <c r="B54" t="s">
        <v>14</v>
      </c>
      <c r="C54">
        <v>720</v>
      </c>
      <c r="D54">
        <v>64.5</v>
      </c>
      <c r="E54">
        <v>64.5</v>
      </c>
      <c r="F54">
        <v>64.5</v>
      </c>
      <c r="G54">
        <v>64.5</v>
      </c>
      <c r="H54">
        <v>64.5</v>
      </c>
      <c r="I54">
        <v>64.5</v>
      </c>
      <c r="J54">
        <v>64.5</v>
      </c>
      <c r="K54">
        <v>64.5</v>
      </c>
      <c r="L54">
        <v>64.5</v>
      </c>
      <c r="M54">
        <v>64.5</v>
      </c>
      <c r="N54">
        <v>64.5</v>
      </c>
      <c r="BL54">
        <v>709.5</v>
      </c>
      <c r="BM54">
        <v>10.5</v>
      </c>
    </row>
    <row r="55" spans="1:65" x14ac:dyDescent="0.25">
      <c r="A55" t="s">
        <v>81</v>
      </c>
      <c r="B55" t="s">
        <v>14</v>
      </c>
      <c r="C55">
        <v>720</v>
      </c>
      <c r="D55">
        <v>64.5</v>
      </c>
      <c r="E55">
        <v>64.5</v>
      </c>
      <c r="F55">
        <v>61</v>
      </c>
      <c r="G55">
        <v>60.5</v>
      </c>
      <c r="H55">
        <v>60.5</v>
      </c>
      <c r="I55">
        <v>60.5</v>
      </c>
      <c r="J55">
        <v>60.5</v>
      </c>
      <c r="K55">
        <v>59.25</v>
      </c>
      <c r="L55">
        <v>59.25</v>
      </c>
      <c r="M55">
        <v>59.25</v>
      </c>
      <c r="N55">
        <v>52.75</v>
      </c>
      <c r="O55">
        <v>44.5</v>
      </c>
      <c r="BL55">
        <v>707</v>
      </c>
      <c r="BM55">
        <v>13</v>
      </c>
    </row>
    <row r="56" spans="1:65" x14ac:dyDescent="0.25">
      <c r="A56" t="s">
        <v>81</v>
      </c>
      <c r="B56" t="s">
        <v>14</v>
      </c>
      <c r="C56">
        <v>720</v>
      </c>
      <c r="D56">
        <v>44.5</v>
      </c>
      <c r="BL56">
        <v>44.5</v>
      </c>
      <c r="BM56">
        <v>675.5</v>
      </c>
    </row>
    <row r="57" spans="1:65" x14ac:dyDescent="0.25">
      <c r="A57" t="s">
        <v>82</v>
      </c>
      <c r="B57" t="s">
        <v>23</v>
      </c>
      <c r="C57">
        <v>600</v>
      </c>
      <c r="D57">
        <v>203</v>
      </c>
      <c r="E57">
        <v>70.25</v>
      </c>
      <c r="F57">
        <v>65.5</v>
      </c>
      <c r="G57">
        <v>65.25</v>
      </c>
      <c r="H57">
        <v>65.25</v>
      </c>
      <c r="I57">
        <v>65.25</v>
      </c>
      <c r="J57">
        <v>65.25</v>
      </c>
      <c r="BL57">
        <v>599.75</v>
      </c>
      <c r="BM57">
        <v>0.25</v>
      </c>
    </row>
    <row r="58" spans="1:65" x14ac:dyDescent="0.25">
      <c r="A58" t="s">
        <v>82</v>
      </c>
      <c r="B58" t="s">
        <v>23</v>
      </c>
      <c r="C58">
        <v>600</v>
      </c>
      <c r="D58">
        <v>203</v>
      </c>
      <c r="E58">
        <v>44.625</v>
      </c>
      <c r="F58">
        <v>44.625</v>
      </c>
      <c r="G58">
        <v>44.625</v>
      </c>
      <c r="H58">
        <v>44.625</v>
      </c>
      <c r="I58">
        <v>44.625</v>
      </c>
      <c r="J58">
        <v>44.625</v>
      </c>
      <c r="K58">
        <v>44.625</v>
      </c>
      <c r="L58">
        <v>44.625</v>
      </c>
      <c r="M58">
        <v>39.5</v>
      </c>
      <c r="BL58">
        <v>599.5</v>
      </c>
      <c r="BM58">
        <v>0.5</v>
      </c>
    </row>
    <row r="59" spans="1:65" x14ac:dyDescent="0.25">
      <c r="A59" t="s">
        <v>82</v>
      </c>
      <c r="B59" t="s">
        <v>23</v>
      </c>
      <c r="C59">
        <v>600</v>
      </c>
      <c r="D59">
        <v>203</v>
      </c>
      <c r="E59">
        <v>52.625</v>
      </c>
      <c r="F59">
        <v>52</v>
      </c>
      <c r="G59">
        <v>52</v>
      </c>
      <c r="H59">
        <v>51.25</v>
      </c>
      <c r="I59">
        <v>39.5</v>
      </c>
      <c r="J59">
        <v>39.5</v>
      </c>
      <c r="K59">
        <v>39.5</v>
      </c>
      <c r="L59">
        <v>35</v>
      </c>
      <c r="M59">
        <v>35</v>
      </c>
      <c r="BL59">
        <v>599.375</v>
      </c>
      <c r="BM59">
        <v>0.625</v>
      </c>
    </row>
    <row r="60" spans="1:65" x14ac:dyDescent="0.25">
      <c r="A60" t="s">
        <v>82</v>
      </c>
      <c r="B60" t="s">
        <v>23</v>
      </c>
      <c r="C60">
        <v>600</v>
      </c>
      <c r="D60">
        <v>203</v>
      </c>
      <c r="E60">
        <v>59.25</v>
      </c>
      <c r="F60">
        <v>59.25</v>
      </c>
      <c r="G60">
        <v>56.5</v>
      </c>
      <c r="H60">
        <v>56.5</v>
      </c>
      <c r="I60">
        <v>56.5</v>
      </c>
      <c r="J60">
        <v>54</v>
      </c>
      <c r="K60">
        <v>54</v>
      </c>
      <c r="BL60">
        <v>599</v>
      </c>
      <c r="BM60">
        <v>1</v>
      </c>
    </row>
    <row r="61" spans="1:65" x14ac:dyDescent="0.25">
      <c r="A61" t="s">
        <v>82</v>
      </c>
      <c r="B61" t="s">
        <v>23</v>
      </c>
      <c r="C61">
        <v>600</v>
      </c>
      <c r="D61">
        <v>203</v>
      </c>
      <c r="E61">
        <v>52.625</v>
      </c>
      <c r="F61">
        <v>52.625</v>
      </c>
      <c r="G61">
        <v>52.625</v>
      </c>
      <c r="H61">
        <v>52.625</v>
      </c>
      <c r="I61">
        <v>52.625</v>
      </c>
      <c r="J61">
        <v>52.625</v>
      </c>
      <c r="K61">
        <v>52.625</v>
      </c>
      <c r="L61">
        <v>27.5</v>
      </c>
      <c r="BL61">
        <v>598.875</v>
      </c>
      <c r="BM61">
        <v>1.125</v>
      </c>
    </row>
    <row r="62" spans="1:65" x14ac:dyDescent="0.25">
      <c r="A62" t="s">
        <v>82</v>
      </c>
      <c r="B62" t="s">
        <v>23</v>
      </c>
      <c r="C62">
        <v>600</v>
      </c>
      <c r="D62">
        <v>203</v>
      </c>
      <c r="E62">
        <v>80</v>
      </c>
      <c r="F62">
        <v>80</v>
      </c>
      <c r="G62">
        <v>79.5</v>
      </c>
      <c r="H62">
        <v>77.5</v>
      </c>
      <c r="I62">
        <v>77.5</v>
      </c>
      <c r="BL62">
        <v>597.5</v>
      </c>
      <c r="BM62">
        <v>2.5</v>
      </c>
    </row>
    <row r="63" spans="1:65" x14ac:dyDescent="0.25">
      <c r="A63" t="s">
        <v>82</v>
      </c>
      <c r="B63" t="s">
        <v>23</v>
      </c>
      <c r="C63">
        <v>600</v>
      </c>
      <c r="D63">
        <v>203</v>
      </c>
      <c r="E63">
        <v>80</v>
      </c>
      <c r="F63">
        <v>80</v>
      </c>
      <c r="G63">
        <v>80</v>
      </c>
      <c r="H63">
        <v>77.5</v>
      </c>
      <c r="I63">
        <v>77.5</v>
      </c>
      <c r="BL63">
        <v>598</v>
      </c>
      <c r="BM63">
        <v>2</v>
      </c>
    </row>
    <row r="64" spans="1:65" x14ac:dyDescent="0.25">
      <c r="A64" t="s">
        <v>82</v>
      </c>
      <c r="B64" t="s">
        <v>23</v>
      </c>
      <c r="C64">
        <v>600</v>
      </c>
      <c r="D64">
        <v>203</v>
      </c>
      <c r="E64">
        <v>131.125</v>
      </c>
      <c r="F64">
        <v>131.125</v>
      </c>
      <c r="G64">
        <v>131.125</v>
      </c>
      <c r="BL64">
        <v>596.375</v>
      </c>
      <c r="BM64">
        <v>3.625</v>
      </c>
    </row>
    <row r="65" spans="1:65" x14ac:dyDescent="0.25">
      <c r="A65" t="s">
        <v>82</v>
      </c>
      <c r="B65" t="s">
        <v>23</v>
      </c>
      <c r="C65">
        <v>600</v>
      </c>
      <c r="D65">
        <v>203</v>
      </c>
      <c r="E65">
        <v>70.25</v>
      </c>
      <c r="F65">
        <v>70.25</v>
      </c>
      <c r="G65">
        <v>70.25</v>
      </c>
      <c r="H65">
        <v>61</v>
      </c>
      <c r="I65">
        <v>61</v>
      </c>
      <c r="J65">
        <v>59.5</v>
      </c>
      <c r="BL65">
        <v>595.25</v>
      </c>
      <c r="BM65">
        <v>4.75</v>
      </c>
    </row>
    <row r="66" spans="1:65" x14ac:dyDescent="0.25">
      <c r="A66" t="s">
        <v>82</v>
      </c>
      <c r="B66" t="s">
        <v>23</v>
      </c>
      <c r="C66">
        <v>600</v>
      </c>
      <c r="D66">
        <v>203</v>
      </c>
      <c r="E66">
        <v>112</v>
      </c>
      <c r="F66">
        <v>92.5</v>
      </c>
      <c r="G66">
        <v>92.5</v>
      </c>
      <c r="H66">
        <v>92.5</v>
      </c>
      <c r="BL66">
        <v>592.5</v>
      </c>
      <c r="BM66">
        <v>7.5</v>
      </c>
    </row>
    <row r="67" spans="1:65" x14ac:dyDescent="0.25">
      <c r="A67" t="s">
        <v>82</v>
      </c>
      <c r="B67" t="s">
        <v>23</v>
      </c>
      <c r="C67">
        <v>600</v>
      </c>
      <c r="D67">
        <v>203</v>
      </c>
      <c r="E67">
        <v>112</v>
      </c>
      <c r="F67">
        <v>112</v>
      </c>
      <c r="G67">
        <v>92.5</v>
      </c>
      <c r="H67">
        <v>77.5</v>
      </c>
      <c r="BL67">
        <v>597</v>
      </c>
      <c r="BM67">
        <v>3</v>
      </c>
    </row>
    <row r="68" spans="1:65" x14ac:dyDescent="0.25">
      <c r="A68" t="s">
        <v>82</v>
      </c>
      <c r="B68" t="s">
        <v>23</v>
      </c>
      <c r="C68">
        <v>600</v>
      </c>
      <c r="D68">
        <v>203</v>
      </c>
      <c r="E68">
        <v>129.75</v>
      </c>
      <c r="F68">
        <v>112</v>
      </c>
      <c r="G68">
        <v>77.5</v>
      </c>
      <c r="H68">
        <v>75.25</v>
      </c>
      <c r="BL68">
        <v>597.5</v>
      </c>
      <c r="BM68">
        <v>2.5</v>
      </c>
    </row>
    <row r="69" spans="1:65" x14ac:dyDescent="0.25">
      <c r="A69" t="s">
        <v>82</v>
      </c>
      <c r="B69" t="s">
        <v>23</v>
      </c>
      <c r="C69">
        <v>600</v>
      </c>
      <c r="D69">
        <v>203</v>
      </c>
      <c r="E69">
        <v>71.75</v>
      </c>
      <c r="F69">
        <v>70.25</v>
      </c>
      <c r="G69">
        <v>70.25</v>
      </c>
      <c r="H69">
        <v>59.25</v>
      </c>
      <c r="I69">
        <v>59.25</v>
      </c>
      <c r="J69">
        <v>52.75</v>
      </c>
      <c r="BL69">
        <v>586.5</v>
      </c>
      <c r="BM69">
        <v>13.5</v>
      </c>
    </row>
    <row r="70" spans="1:65" x14ac:dyDescent="0.25">
      <c r="A70" t="s">
        <v>82</v>
      </c>
      <c r="B70" t="s">
        <v>23</v>
      </c>
      <c r="C70">
        <v>600</v>
      </c>
      <c r="D70">
        <v>203</v>
      </c>
      <c r="E70">
        <v>71.75</v>
      </c>
      <c r="F70">
        <v>71.75</v>
      </c>
      <c r="G70">
        <v>71.75</v>
      </c>
      <c r="H70">
        <v>71.75</v>
      </c>
      <c r="I70">
        <v>52.75</v>
      </c>
      <c r="J70">
        <v>52.75</v>
      </c>
      <c r="BL70">
        <v>595.5</v>
      </c>
      <c r="BM70">
        <v>4.5</v>
      </c>
    </row>
    <row r="71" spans="1:65" x14ac:dyDescent="0.25">
      <c r="A71" t="s">
        <v>82</v>
      </c>
      <c r="B71" t="s">
        <v>23</v>
      </c>
      <c r="C71">
        <v>600</v>
      </c>
      <c r="D71">
        <v>203</v>
      </c>
      <c r="E71">
        <v>72</v>
      </c>
      <c r="F71">
        <v>72</v>
      </c>
      <c r="G71">
        <v>72</v>
      </c>
      <c r="H71">
        <v>71.75</v>
      </c>
      <c r="I71">
        <v>52.75</v>
      </c>
      <c r="J71">
        <v>52.75</v>
      </c>
      <c r="BL71">
        <v>596.25</v>
      </c>
      <c r="BM71">
        <v>3.75</v>
      </c>
    </row>
    <row r="72" spans="1:65" x14ac:dyDescent="0.25">
      <c r="A72" t="s">
        <v>82</v>
      </c>
      <c r="B72" t="s">
        <v>23</v>
      </c>
      <c r="C72">
        <v>600</v>
      </c>
      <c r="D72">
        <v>203</v>
      </c>
      <c r="E72">
        <v>72.25</v>
      </c>
      <c r="F72">
        <v>72.25</v>
      </c>
      <c r="G72">
        <v>72.25</v>
      </c>
      <c r="H72">
        <v>72</v>
      </c>
      <c r="I72">
        <v>52.75</v>
      </c>
      <c r="J72">
        <v>52.75</v>
      </c>
      <c r="BL72">
        <v>597.25</v>
      </c>
      <c r="BM72">
        <v>2.75</v>
      </c>
    </row>
    <row r="73" spans="1:65" x14ac:dyDescent="0.25">
      <c r="A73" t="s">
        <v>82</v>
      </c>
      <c r="B73" t="s">
        <v>23</v>
      </c>
      <c r="C73">
        <v>600</v>
      </c>
      <c r="D73">
        <v>203</v>
      </c>
      <c r="E73">
        <v>72.5</v>
      </c>
      <c r="F73">
        <v>72.5</v>
      </c>
      <c r="G73">
        <v>72.5</v>
      </c>
      <c r="H73">
        <v>72.25</v>
      </c>
      <c r="I73">
        <v>52.75</v>
      </c>
      <c r="J73">
        <v>52.75</v>
      </c>
      <c r="BL73">
        <v>598.25</v>
      </c>
      <c r="BM73">
        <v>1.75</v>
      </c>
    </row>
    <row r="74" spans="1:65" x14ac:dyDescent="0.25">
      <c r="A74" t="s">
        <v>82</v>
      </c>
      <c r="B74" t="s">
        <v>23</v>
      </c>
      <c r="C74">
        <v>600</v>
      </c>
      <c r="D74">
        <v>203</v>
      </c>
      <c r="E74">
        <v>72.5</v>
      </c>
      <c r="F74">
        <v>72.5</v>
      </c>
      <c r="G74">
        <v>72.5</v>
      </c>
      <c r="H74">
        <v>72.5</v>
      </c>
      <c r="I74">
        <v>52.75</v>
      </c>
      <c r="J74">
        <v>52.75</v>
      </c>
      <c r="BL74">
        <v>598.5</v>
      </c>
      <c r="BM74">
        <v>1.5</v>
      </c>
    </row>
    <row r="75" spans="1:65" x14ac:dyDescent="0.25">
      <c r="A75" t="s">
        <v>82</v>
      </c>
      <c r="B75" t="s">
        <v>23</v>
      </c>
      <c r="C75">
        <v>600</v>
      </c>
      <c r="D75">
        <v>203</v>
      </c>
      <c r="E75">
        <v>72.75</v>
      </c>
      <c r="F75">
        <v>72.75</v>
      </c>
      <c r="G75">
        <v>72.75</v>
      </c>
      <c r="H75">
        <v>72.5</v>
      </c>
      <c r="I75">
        <v>52.75</v>
      </c>
      <c r="J75">
        <v>52.75</v>
      </c>
      <c r="BL75">
        <v>599.25</v>
      </c>
      <c r="BM75">
        <v>0.75</v>
      </c>
    </row>
    <row r="76" spans="1:65" x14ac:dyDescent="0.25">
      <c r="A76" t="s">
        <v>82</v>
      </c>
      <c r="B76" t="s">
        <v>23</v>
      </c>
      <c r="C76">
        <v>600</v>
      </c>
      <c r="D76">
        <v>203</v>
      </c>
      <c r="E76">
        <v>72.75</v>
      </c>
      <c r="F76">
        <v>52.75</v>
      </c>
      <c r="G76">
        <v>52.75</v>
      </c>
      <c r="H76">
        <v>52.75</v>
      </c>
      <c r="I76">
        <v>52.75</v>
      </c>
      <c r="J76">
        <v>52.75</v>
      </c>
      <c r="K76">
        <v>52.75</v>
      </c>
      <c r="BL76">
        <v>592.25</v>
      </c>
      <c r="BM76">
        <v>7.75</v>
      </c>
    </row>
    <row r="77" spans="1:65" x14ac:dyDescent="0.25">
      <c r="A77" t="s">
        <v>82</v>
      </c>
      <c r="B77" t="s">
        <v>23</v>
      </c>
      <c r="C77">
        <v>600</v>
      </c>
      <c r="D77">
        <v>203</v>
      </c>
      <c r="E77">
        <v>72.75</v>
      </c>
      <c r="F77">
        <v>52.75</v>
      </c>
      <c r="G77">
        <v>52.75</v>
      </c>
      <c r="H77">
        <v>52.75</v>
      </c>
      <c r="I77">
        <v>52.75</v>
      </c>
      <c r="J77">
        <v>52.75</v>
      </c>
      <c r="K77">
        <v>52.75</v>
      </c>
      <c r="BL77">
        <v>592.25</v>
      </c>
      <c r="BM77">
        <v>7.75</v>
      </c>
    </row>
    <row r="78" spans="1:65" x14ac:dyDescent="0.25">
      <c r="A78" t="s">
        <v>82</v>
      </c>
      <c r="B78" t="s">
        <v>23</v>
      </c>
      <c r="C78">
        <v>600</v>
      </c>
      <c r="D78">
        <v>203</v>
      </c>
      <c r="E78">
        <v>73</v>
      </c>
      <c r="F78">
        <v>52.75</v>
      </c>
      <c r="G78">
        <v>52.75</v>
      </c>
      <c r="H78">
        <v>52.75</v>
      </c>
      <c r="I78">
        <v>52.75</v>
      </c>
      <c r="J78">
        <v>52.75</v>
      </c>
      <c r="K78">
        <v>52.75</v>
      </c>
      <c r="BL78">
        <v>592.5</v>
      </c>
      <c r="BM78">
        <v>7.5</v>
      </c>
    </row>
    <row r="79" spans="1:65" x14ac:dyDescent="0.25">
      <c r="A79" t="s">
        <v>82</v>
      </c>
      <c r="B79" t="s">
        <v>23</v>
      </c>
      <c r="C79">
        <v>600</v>
      </c>
      <c r="D79">
        <v>203</v>
      </c>
      <c r="E79">
        <v>75.25</v>
      </c>
      <c r="F79">
        <v>75.25</v>
      </c>
      <c r="G79">
        <v>75.25</v>
      </c>
      <c r="H79">
        <v>75.25</v>
      </c>
      <c r="I79">
        <v>73</v>
      </c>
      <c r="BL79">
        <v>577</v>
      </c>
      <c r="BM79">
        <v>23</v>
      </c>
    </row>
    <row r="80" spans="1:65" x14ac:dyDescent="0.25">
      <c r="A80" t="s">
        <v>82</v>
      </c>
      <c r="B80" t="s">
        <v>23</v>
      </c>
      <c r="C80">
        <v>600</v>
      </c>
      <c r="D80">
        <v>203</v>
      </c>
      <c r="E80">
        <v>203</v>
      </c>
      <c r="F80">
        <v>163</v>
      </c>
      <c r="BL80">
        <v>569</v>
      </c>
      <c r="BM80">
        <v>31</v>
      </c>
    </row>
    <row r="81" spans="1:65" x14ac:dyDescent="0.25">
      <c r="A81" t="s">
        <v>82</v>
      </c>
      <c r="B81" t="s">
        <v>23</v>
      </c>
      <c r="C81">
        <v>600</v>
      </c>
      <c r="D81">
        <v>203</v>
      </c>
      <c r="E81">
        <v>203</v>
      </c>
      <c r="F81">
        <v>163</v>
      </c>
      <c r="BL81">
        <v>569</v>
      </c>
      <c r="BM81">
        <v>31</v>
      </c>
    </row>
    <row r="82" spans="1:65" x14ac:dyDescent="0.25">
      <c r="A82" t="s">
        <v>82</v>
      </c>
      <c r="B82" t="s">
        <v>23</v>
      </c>
      <c r="C82">
        <v>600</v>
      </c>
      <c r="D82">
        <v>163</v>
      </c>
      <c r="E82">
        <v>129.75</v>
      </c>
      <c r="F82">
        <v>73</v>
      </c>
      <c r="G82">
        <v>73</v>
      </c>
      <c r="H82">
        <v>73</v>
      </c>
      <c r="I82">
        <v>73</v>
      </c>
      <c r="BL82">
        <v>584.75</v>
      </c>
      <c r="BM82">
        <v>15.25</v>
      </c>
    </row>
    <row r="83" spans="1:65" x14ac:dyDescent="0.25">
      <c r="A83" t="s">
        <v>82</v>
      </c>
      <c r="B83" t="s">
        <v>23</v>
      </c>
      <c r="C83">
        <v>600</v>
      </c>
      <c r="D83">
        <v>163</v>
      </c>
      <c r="E83">
        <v>73</v>
      </c>
      <c r="F83">
        <v>73</v>
      </c>
      <c r="G83">
        <v>73</v>
      </c>
      <c r="H83">
        <v>73</v>
      </c>
      <c r="I83">
        <v>73</v>
      </c>
      <c r="J83">
        <v>52.75</v>
      </c>
      <c r="BL83">
        <v>580.75</v>
      </c>
      <c r="BM83">
        <v>19.25</v>
      </c>
    </row>
    <row r="84" spans="1:65" x14ac:dyDescent="0.25">
      <c r="A84" t="s">
        <v>82</v>
      </c>
      <c r="B84" t="s">
        <v>23</v>
      </c>
      <c r="C84">
        <v>600</v>
      </c>
      <c r="D84">
        <v>73</v>
      </c>
      <c r="E84">
        <v>73</v>
      </c>
      <c r="F84">
        <v>145.625</v>
      </c>
      <c r="G84">
        <v>145.625</v>
      </c>
      <c r="H84">
        <v>146.875</v>
      </c>
      <c r="BL84">
        <v>584.125</v>
      </c>
      <c r="BM84">
        <v>15.875</v>
      </c>
    </row>
    <row r="85" spans="1:65" x14ac:dyDescent="0.25">
      <c r="A85" t="s">
        <v>121</v>
      </c>
      <c r="B85" t="s">
        <v>128</v>
      </c>
      <c r="C85">
        <v>480</v>
      </c>
      <c r="D85">
        <v>203</v>
      </c>
      <c r="E85">
        <v>203</v>
      </c>
      <c r="BL85">
        <v>406</v>
      </c>
      <c r="BM85">
        <v>74</v>
      </c>
    </row>
    <row r="86" spans="1:65" x14ac:dyDescent="0.25">
      <c r="A86" t="s">
        <v>121</v>
      </c>
      <c r="B86" t="s">
        <v>128</v>
      </c>
      <c r="C86">
        <v>480</v>
      </c>
      <c r="D86">
        <v>203</v>
      </c>
      <c r="E86">
        <v>203</v>
      </c>
      <c r="BL86">
        <v>406</v>
      </c>
      <c r="BM86">
        <v>74</v>
      </c>
    </row>
    <row r="87" spans="1:65" x14ac:dyDescent="0.25">
      <c r="A87" t="s">
        <v>121</v>
      </c>
      <c r="B87" t="s">
        <v>128</v>
      </c>
      <c r="C87">
        <v>480</v>
      </c>
      <c r="D87">
        <v>203</v>
      </c>
      <c r="E87">
        <v>203</v>
      </c>
      <c r="BL87">
        <v>406</v>
      </c>
      <c r="BM87">
        <v>74</v>
      </c>
    </row>
    <row r="88" spans="1:65" x14ac:dyDescent="0.25">
      <c r="A88" t="s">
        <v>121</v>
      </c>
      <c r="B88" t="s">
        <v>128</v>
      </c>
      <c r="C88">
        <v>480</v>
      </c>
      <c r="D88">
        <v>203</v>
      </c>
      <c r="E88">
        <v>203</v>
      </c>
      <c r="BL88">
        <v>406</v>
      </c>
      <c r="BM88">
        <v>74</v>
      </c>
    </row>
    <row r="89" spans="1:65" x14ac:dyDescent="0.25">
      <c r="A89" t="s">
        <v>121</v>
      </c>
      <c r="B89" t="s">
        <v>128</v>
      </c>
      <c r="C89">
        <v>480</v>
      </c>
      <c r="D89">
        <v>203</v>
      </c>
      <c r="E89">
        <v>203</v>
      </c>
      <c r="BL89">
        <v>406</v>
      </c>
      <c r="BM89">
        <v>74</v>
      </c>
    </row>
    <row r="90" spans="1:65" x14ac:dyDescent="0.25">
      <c r="A90" t="s">
        <v>121</v>
      </c>
      <c r="B90" t="s">
        <v>128</v>
      </c>
      <c r="C90">
        <v>480</v>
      </c>
      <c r="D90">
        <v>203</v>
      </c>
      <c r="E90">
        <v>203</v>
      </c>
      <c r="BL90">
        <v>406</v>
      </c>
      <c r="BM90">
        <v>74</v>
      </c>
    </row>
    <row r="91" spans="1:65" x14ac:dyDescent="0.25">
      <c r="A91" t="s">
        <v>67</v>
      </c>
      <c r="B91" t="s">
        <v>43</v>
      </c>
      <c r="C91">
        <v>720</v>
      </c>
      <c r="D91">
        <v>701.5</v>
      </c>
      <c r="BL91">
        <v>701.5</v>
      </c>
      <c r="BM91">
        <v>18.5</v>
      </c>
    </row>
    <row r="92" spans="1:65" x14ac:dyDescent="0.25">
      <c r="A92" t="s">
        <v>67</v>
      </c>
      <c r="B92" t="s">
        <v>43</v>
      </c>
      <c r="C92">
        <v>720</v>
      </c>
      <c r="D92">
        <v>701.5</v>
      </c>
      <c r="BL92">
        <v>701.5</v>
      </c>
      <c r="BM92">
        <v>18.5</v>
      </c>
    </row>
    <row r="93" spans="1:65" x14ac:dyDescent="0.25">
      <c r="A93" t="s">
        <v>67</v>
      </c>
      <c r="B93" t="s">
        <v>43</v>
      </c>
      <c r="C93">
        <v>720</v>
      </c>
      <c r="D93">
        <v>686.5</v>
      </c>
      <c r="BL93">
        <v>686.5</v>
      </c>
      <c r="BM93">
        <v>33.5</v>
      </c>
    </row>
    <row r="94" spans="1:65" x14ac:dyDescent="0.25">
      <c r="A94" t="s">
        <v>67</v>
      </c>
      <c r="B94" t="s">
        <v>43</v>
      </c>
      <c r="C94">
        <v>720</v>
      </c>
      <c r="D94">
        <v>686.5</v>
      </c>
      <c r="BL94">
        <v>686.5</v>
      </c>
      <c r="BM94">
        <v>33.5</v>
      </c>
    </row>
    <row r="95" spans="1:65" x14ac:dyDescent="0.25">
      <c r="A95" t="s">
        <v>67</v>
      </c>
      <c r="B95" t="s">
        <v>43</v>
      </c>
      <c r="C95">
        <v>720</v>
      </c>
      <c r="D95">
        <v>678.5</v>
      </c>
      <c r="BL95">
        <v>678.5</v>
      </c>
      <c r="BM95">
        <v>41.5</v>
      </c>
    </row>
    <row r="96" spans="1:65" x14ac:dyDescent="0.25">
      <c r="A96" t="s">
        <v>67</v>
      </c>
      <c r="B96" t="s">
        <v>43</v>
      </c>
      <c r="C96">
        <v>720</v>
      </c>
      <c r="D96">
        <v>678.5</v>
      </c>
      <c r="BL96">
        <v>678.5</v>
      </c>
      <c r="BM96">
        <v>41.5</v>
      </c>
    </row>
    <row r="97" spans="1:65" x14ac:dyDescent="0.25">
      <c r="A97" t="s">
        <v>67</v>
      </c>
      <c r="B97" t="s">
        <v>43</v>
      </c>
      <c r="C97">
        <v>720</v>
      </c>
      <c r="D97">
        <v>655.5</v>
      </c>
      <c r="BL97">
        <v>655.5</v>
      </c>
      <c r="BM97">
        <v>64.5</v>
      </c>
    </row>
    <row r="98" spans="1:65" x14ac:dyDescent="0.25">
      <c r="A98" t="s">
        <v>67</v>
      </c>
      <c r="B98" t="s">
        <v>43</v>
      </c>
      <c r="C98">
        <v>720</v>
      </c>
      <c r="D98">
        <v>655.5</v>
      </c>
      <c r="BL98">
        <v>655.5</v>
      </c>
      <c r="BM98">
        <v>64.5</v>
      </c>
    </row>
    <row r="99" spans="1:65" x14ac:dyDescent="0.25">
      <c r="A99" t="s">
        <v>94</v>
      </c>
      <c r="B99" t="s">
        <v>58</v>
      </c>
      <c r="C99">
        <v>480</v>
      </c>
      <c r="D99">
        <v>29.125</v>
      </c>
      <c r="E99">
        <v>29.125</v>
      </c>
      <c r="F99">
        <v>29.125</v>
      </c>
      <c r="G99">
        <v>29.125</v>
      </c>
      <c r="H99">
        <v>28.625</v>
      </c>
      <c r="I99">
        <v>28.625</v>
      </c>
      <c r="J99">
        <v>27.625</v>
      </c>
      <c r="K99">
        <v>27.625</v>
      </c>
      <c r="L99">
        <v>27.5</v>
      </c>
      <c r="M99">
        <v>27.5</v>
      </c>
      <c r="N99">
        <v>27</v>
      </c>
      <c r="O99">
        <v>27</v>
      </c>
      <c r="P99">
        <v>26.125</v>
      </c>
      <c r="Q99">
        <v>26.125</v>
      </c>
      <c r="R99">
        <v>25.625</v>
      </c>
      <c r="S99">
        <v>25.625</v>
      </c>
      <c r="T99">
        <v>24.5</v>
      </c>
      <c r="U99">
        <v>9.375</v>
      </c>
      <c r="BL99">
        <v>475.375</v>
      </c>
      <c r="BM99">
        <v>4.625</v>
      </c>
    </row>
    <row r="100" spans="1:65" x14ac:dyDescent="0.25">
      <c r="A100" t="s">
        <v>94</v>
      </c>
      <c r="B100" t="s">
        <v>58</v>
      </c>
      <c r="C100">
        <v>480</v>
      </c>
      <c r="D100">
        <v>24.5</v>
      </c>
      <c r="E100">
        <v>22.375</v>
      </c>
      <c r="F100">
        <v>22.375</v>
      </c>
      <c r="G100">
        <v>20.875</v>
      </c>
      <c r="H100">
        <v>20.875</v>
      </c>
      <c r="I100">
        <v>20.75</v>
      </c>
      <c r="J100">
        <v>20.75</v>
      </c>
      <c r="K100">
        <v>19.625</v>
      </c>
      <c r="L100">
        <v>19.625</v>
      </c>
      <c r="M100">
        <v>17.125</v>
      </c>
      <c r="N100">
        <v>17.125</v>
      </c>
      <c r="O100">
        <v>9.375</v>
      </c>
      <c r="P100">
        <v>8</v>
      </c>
      <c r="Q100">
        <v>8</v>
      </c>
      <c r="R100">
        <v>8</v>
      </c>
      <c r="S100">
        <v>8</v>
      </c>
      <c r="T100">
        <v>8</v>
      </c>
      <c r="U100">
        <v>8</v>
      </c>
      <c r="V100">
        <v>8</v>
      </c>
      <c r="W100">
        <v>8</v>
      </c>
      <c r="X100">
        <v>8</v>
      </c>
      <c r="Y100">
        <v>8</v>
      </c>
      <c r="Z100">
        <v>8</v>
      </c>
      <c r="AA100">
        <v>8</v>
      </c>
      <c r="AB100">
        <v>8</v>
      </c>
      <c r="AC100">
        <v>8</v>
      </c>
      <c r="AD100">
        <v>8</v>
      </c>
      <c r="AE100">
        <v>8</v>
      </c>
      <c r="AF100">
        <v>8</v>
      </c>
      <c r="AG100">
        <v>8</v>
      </c>
      <c r="AH100">
        <v>8</v>
      </c>
      <c r="AI100">
        <v>8</v>
      </c>
      <c r="AJ100">
        <v>8</v>
      </c>
      <c r="AK100">
        <v>8</v>
      </c>
      <c r="AL100">
        <v>8</v>
      </c>
      <c r="AM100">
        <v>8</v>
      </c>
      <c r="AN100">
        <v>8</v>
      </c>
      <c r="AO100">
        <v>8</v>
      </c>
      <c r="AP100">
        <v>8</v>
      </c>
      <c r="AQ100">
        <v>8</v>
      </c>
      <c r="AR100">
        <v>8</v>
      </c>
      <c r="AS100">
        <v>8</v>
      </c>
      <c r="BL100">
        <v>475.375</v>
      </c>
      <c r="BM100">
        <v>4.625</v>
      </c>
    </row>
    <row r="101" spans="1:65" x14ac:dyDescent="0.25">
      <c r="A101" t="s">
        <v>94</v>
      </c>
      <c r="B101" t="s">
        <v>58</v>
      </c>
      <c r="C101">
        <v>480</v>
      </c>
      <c r="D101">
        <v>8</v>
      </c>
      <c r="E101">
        <v>8</v>
      </c>
      <c r="F101">
        <v>8</v>
      </c>
      <c r="G101">
        <v>8</v>
      </c>
      <c r="H101">
        <v>8</v>
      </c>
      <c r="I101">
        <v>8</v>
      </c>
      <c r="J101">
        <v>8</v>
      </c>
      <c r="K101">
        <v>8</v>
      </c>
      <c r="L101">
        <v>8</v>
      </c>
      <c r="M101">
        <v>8</v>
      </c>
      <c r="N101">
        <v>8</v>
      </c>
      <c r="O101">
        <v>8</v>
      </c>
      <c r="P101">
        <v>8</v>
      </c>
      <c r="Q101">
        <v>8</v>
      </c>
      <c r="R101">
        <v>8</v>
      </c>
      <c r="S101">
        <v>8</v>
      </c>
      <c r="T101">
        <v>8</v>
      </c>
      <c r="U101">
        <v>8</v>
      </c>
      <c r="V101">
        <v>8</v>
      </c>
      <c r="W101">
        <v>8</v>
      </c>
      <c r="X101">
        <v>8</v>
      </c>
      <c r="Y101">
        <v>8</v>
      </c>
      <c r="Z101">
        <v>8</v>
      </c>
      <c r="AA101">
        <v>8</v>
      </c>
      <c r="AB101">
        <v>8</v>
      </c>
      <c r="AC101">
        <v>8</v>
      </c>
      <c r="AD101">
        <v>8</v>
      </c>
      <c r="AE101">
        <v>8</v>
      </c>
      <c r="AF101">
        <v>8</v>
      </c>
      <c r="AG101">
        <v>8</v>
      </c>
      <c r="AH101">
        <v>8</v>
      </c>
      <c r="AI101">
        <v>8</v>
      </c>
      <c r="AJ101">
        <v>8</v>
      </c>
      <c r="AK101">
        <v>8</v>
      </c>
      <c r="AL101">
        <v>8</v>
      </c>
      <c r="AM101">
        <v>8</v>
      </c>
      <c r="AN101">
        <v>8</v>
      </c>
      <c r="AO101">
        <v>8</v>
      </c>
      <c r="AP101">
        <v>8</v>
      </c>
      <c r="AQ101">
        <v>8</v>
      </c>
      <c r="AR101">
        <v>8</v>
      </c>
      <c r="AS101">
        <v>8</v>
      </c>
      <c r="AT101">
        <v>8</v>
      </c>
      <c r="AU101">
        <v>8</v>
      </c>
      <c r="AV101">
        <v>8</v>
      </c>
      <c r="AW101">
        <v>8</v>
      </c>
      <c r="AX101">
        <v>8</v>
      </c>
      <c r="AY101">
        <v>8</v>
      </c>
      <c r="AZ101">
        <v>8</v>
      </c>
      <c r="BA101">
        <v>8</v>
      </c>
      <c r="BB101">
        <v>8</v>
      </c>
      <c r="BC101">
        <v>8</v>
      </c>
      <c r="BD101">
        <v>8</v>
      </c>
      <c r="BE101">
        <v>8</v>
      </c>
      <c r="BF101">
        <v>8</v>
      </c>
      <c r="BG101">
        <v>8</v>
      </c>
      <c r="BH101">
        <v>8</v>
      </c>
      <c r="BI101">
        <v>8</v>
      </c>
      <c r="BJ101">
        <v>8</v>
      </c>
      <c r="BK101">
        <v>8</v>
      </c>
      <c r="BL101">
        <v>480</v>
      </c>
      <c r="BM101">
        <v>0</v>
      </c>
    </row>
    <row r="102" spans="1:65" x14ac:dyDescent="0.25">
      <c r="A102" t="s">
        <v>94</v>
      </c>
      <c r="B102" t="s">
        <v>58</v>
      </c>
      <c r="C102">
        <v>480</v>
      </c>
      <c r="D102">
        <v>8</v>
      </c>
      <c r="E102">
        <v>8</v>
      </c>
      <c r="F102">
        <v>8</v>
      </c>
      <c r="G102">
        <v>8</v>
      </c>
      <c r="H102">
        <v>8</v>
      </c>
      <c r="I102">
        <v>8</v>
      </c>
      <c r="J102">
        <v>8</v>
      </c>
      <c r="K102">
        <v>8</v>
      </c>
      <c r="L102">
        <v>8</v>
      </c>
      <c r="M102">
        <v>8</v>
      </c>
      <c r="N102">
        <v>8</v>
      </c>
      <c r="O102">
        <v>8</v>
      </c>
      <c r="P102">
        <v>8</v>
      </c>
      <c r="Q102">
        <v>8</v>
      </c>
      <c r="R102">
        <v>8</v>
      </c>
      <c r="S102">
        <v>8</v>
      </c>
      <c r="T102">
        <v>8</v>
      </c>
      <c r="U102">
        <v>8</v>
      </c>
      <c r="BL102">
        <v>144</v>
      </c>
      <c r="BM102">
        <v>336</v>
      </c>
    </row>
    <row r="103" spans="1:65" x14ac:dyDescent="0.25">
      <c r="A103" t="s">
        <v>122</v>
      </c>
      <c r="B103" t="s">
        <v>135</v>
      </c>
      <c r="C103">
        <v>480</v>
      </c>
      <c r="D103">
        <v>6</v>
      </c>
      <c r="E103">
        <v>6</v>
      </c>
      <c r="F103">
        <v>6</v>
      </c>
      <c r="G103">
        <v>6</v>
      </c>
      <c r="H103">
        <v>6</v>
      </c>
      <c r="I103">
        <v>6</v>
      </c>
      <c r="J103">
        <v>6</v>
      </c>
      <c r="K103">
        <v>6</v>
      </c>
      <c r="L103">
        <v>6</v>
      </c>
      <c r="M103">
        <v>6</v>
      </c>
      <c r="N103">
        <v>6</v>
      </c>
      <c r="O103">
        <v>6</v>
      </c>
      <c r="P103">
        <v>6</v>
      </c>
      <c r="Q103">
        <v>6</v>
      </c>
      <c r="R103">
        <v>6</v>
      </c>
      <c r="S103">
        <v>6</v>
      </c>
      <c r="T103">
        <v>6</v>
      </c>
      <c r="U103">
        <v>6</v>
      </c>
      <c r="V103">
        <v>6</v>
      </c>
      <c r="W103">
        <v>6</v>
      </c>
      <c r="X103">
        <v>6</v>
      </c>
      <c r="Y103">
        <v>6</v>
      </c>
      <c r="Z103">
        <v>6</v>
      </c>
      <c r="AA103">
        <v>6</v>
      </c>
      <c r="AB103">
        <v>6</v>
      </c>
      <c r="AC103">
        <v>6</v>
      </c>
      <c r="AD103">
        <v>6</v>
      </c>
      <c r="AE103">
        <v>6</v>
      </c>
      <c r="AF103">
        <v>6</v>
      </c>
      <c r="AG103">
        <v>6</v>
      </c>
      <c r="AH103">
        <v>6</v>
      </c>
      <c r="AI103">
        <v>6</v>
      </c>
      <c r="AJ103">
        <v>6</v>
      </c>
      <c r="AK103">
        <v>6</v>
      </c>
      <c r="AL103">
        <v>6</v>
      </c>
      <c r="AM103">
        <v>6</v>
      </c>
      <c r="AN103">
        <v>6</v>
      </c>
      <c r="AO103">
        <v>6</v>
      </c>
      <c r="AP103">
        <v>6</v>
      </c>
      <c r="AQ103">
        <v>6</v>
      </c>
      <c r="AR103">
        <v>6</v>
      </c>
      <c r="AS103">
        <v>6</v>
      </c>
      <c r="AT103">
        <v>6</v>
      </c>
      <c r="AU103">
        <v>6</v>
      </c>
      <c r="AV103">
        <v>6</v>
      </c>
      <c r="AW103">
        <v>6</v>
      </c>
      <c r="AX103">
        <v>6</v>
      </c>
      <c r="AY103">
        <v>6</v>
      </c>
      <c r="BL103">
        <v>288</v>
      </c>
      <c r="BM103">
        <v>192</v>
      </c>
    </row>
    <row r="104" spans="1:65" x14ac:dyDescent="0.25">
      <c r="A104" t="s">
        <v>123</v>
      </c>
      <c r="B104" t="s">
        <v>131</v>
      </c>
      <c r="C104">
        <v>240</v>
      </c>
      <c r="D104">
        <v>9</v>
      </c>
      <c r="E104">
        <v>9</v>
      </c>
      <c r="F104">
        <v>9</v>
      </c>
      <c r="G104">
        <v>9</v>
      </c>
      <c r="H104">
        <v>9</v>
      </c>
      <c r="I104">
        <v>9</v>
      </c>
      <c r="J104">
        <v>9</v>
      </c>
      <c r="K104">
        <v>9</v>
      </c>
      <c r="L104">
        <v>9</v>
      </c>
      <c r="M104">
        <v>9</v>
      </c>
      <c r="N104">
        <v>9</v>
      </c>
      <c r="O104">
        <v>9</v>
      </c>
      <c r="BL104">
        <v>108</v>
      </c>
      <c r="BM104">
        <v>132</v>
      </c>
    </row>
    <row r="105" spans="1:65" x14ac:dyDescent="0.25">
      <c r="A105" t="s">
        <v>124</v>
      </c>
      <c r="B105" t="s">
        <v>134</v>
      </c>
      <c r="C105">
        <v>480</v>
      </c>
      <c r="D105">
        <v>160.25</v>
      </c>
      <c r="E105">
        <v>160.25</v>
      </c>
      <c r="BL105">
        <v>320.5</v>
      </c>
      <c r="BM105">
        <v>159.5</v>
      </c>
    </row>
    <row r="106" spans="1:65" x14ac:dyDescent="0.25">
      <c r="A106" t="s">
        <v>124</v>
      </c>
      <c r="B106" t="s">
        <v>134</v>
      </c>
      <c r="C106">
        <v>480</v>
      </c>
      <c r="D106">
        <v>160.25</v>
      </c>
      <c r="E106">
        <v>160.25</v>
      </c>
      <c r="BL106">
        <v>320.5</v>
      </c>
      <c r="BM106">
        <v>159.5</v>
      </c>
    </row>
    <row r="107" spans="1:65" x14ac:dyDescent="0.25">
      <c r="A107" t="s">
        <v>124</v>
      </c>
      <c r="B107" t="s">
        <v>134</v>
      </c>
      <c r="C107">
        <v>480</v>
      </c>
      <c r="D107">
        <v>160.25</v>
      </c>
      <c r="E107">
        <v>160.25</v>
      </c>
      <c r="BL107">
        <v>320.5</v>
      </c>
      <c r="BM107">
        <v>159.5</v>
      </c>
    </row>
    <row r="108" spans="1:65" x14ac:dyDescent="0.25">
      <c r="A108" t="s">
        <v>90</v>
      </c>
      <c r="B108" t="s">
        <v>51</v>
      </c>
      <c r="C108">
        <v>480</v>
      </c>
      <c r="D108">
        <v>259.75</v>
      </c>
      <c r="E108">
        <v>208.375</v>
      </c>
      <c r="F108">
        <v>8</v>
      </c>
      <c r="BL108">
        <v>476.125</v>
      </c>
      <c r="BM108">
        <v>3.875</v>
      </c>
    </row>
    <row r="109" spans="1:65" x14ac:dyDescent="0.25">
      <c r="A109" t="s">
        <v>90</v>
      </c>
      <c r="B109" t="s">
        <v>51</v>
      </c>
      <c r="C109">
        <v>480</v>
      </c>
      <c r="D109">
        <v>246</v>
      </c>
      <c r="E109">
        <v>228</v>
      </c>
      <c r="BL109">
        <v>474</v>
      </c>
      <c r="BM109">
        <v>6</v>
      </c>
    </row>
    <row r="110" spans="1:65" x14ac:dyDescent="0.25">
      <c r="A110" t="s">
        <v>90</v>
      </c>
      <c r="B110" t="s">
        <v>51</v>
      </c>
      <c r="C110">
        <v>480</v>
      </c>
      <c r="D110">
        <v>227</v>
      </c>
      <c r="E110">
        <v>208.375</v>
      </c>
      <c r="F110">
        <v>8</v>
      </c>
      <c r="G110">
        <v>8</v>
      </c>
      <c r="H110">
        <v>8</v>
      </c>
      <c r="I110">
        <v>8</v>
      </c>
      <c r="J110">
        <v>8</v>
      </c>
      <c r="BL110">
        <v>475.375</v>
      </c>
      <c r="BM110">
        <v>4.625</v>
      </c>
    </row>
    <row r="111" spans="1:65" x14ac:dyDescent="0.25">
      <c r="A111" t="s">
        <v>90</v>
      </c>
      <c r="B111" t="s">
        <v>51</v>
      </c>
      <c r="C111">
        <v>480</v>
      </c>
      <c r="D111">
        <v>208.375</v>
      </c>
      <c r="E111">
        <v>208.375</v>
      </c>
      <c r="F111">
        <v>63.125</v>
      </c>
      <c r="BL111">
        <v>479.875</v>
      </c>
      <c r="BM111">
        <v>0.125</v>
      </c>
    </row>
    <row r="112" spans="1:65" x14ac:dyDescent="0.25">
      <c r="A112" t="s">
        <v>90</v>
      </c>
      <c r="B112" t="s">
        <v>51</v>
      </c>
      <c r="C112">
        <v>480</v>
      </c>
      <c r="D112">
        <v>208.375</v>
      </c>
      <c r="E112">
        <v>208.375</v>
      </c>
      <c r="F112">
        <v>8</v>
      </c>
      <c r="G112">
        <v>8</v>
      </c>
      <c r="H112">
        <v>8</v>
      </c>
      <c r="I112">
        <v>8</v>
      </c>
      <c r="J112">
        <v>8</v>
      </c>
      <c r="K112">
        <v>8</v>
      </c>
      <c r="L112">
        <v>8</v>
      </c>
      <c r="BL112">
        <v>472.75</v>
      </c>
      <c r="BM112">
        <v>7.25</v>
      </c>
    </row>
    <row r="113" spans="1:65" x14ac:dyDescent="0.25">
      <c r="A113" t="s">
        <v>90</v>
      </c>
      <c r="B113" t="s">
        <v>51</v>
      </c>
      <c r="C113">
        <v>480</v>
      </c>
      <c r="D113">
        <v>208.375</v>
      </c>
      <c r="E113">
        <v>208.375</v>
      </c>
      <c r="BL113">
        <v>416.75</v>
      </c>
      <c r="BM113">
        <v>63.25</v>
      </c>
    </row>
    <row r="114" spans="1:65" x14ac:dyDescent="0.25">
      <c r="A114" t="s">
        <v>90</v>
      </c>
      <c r="B114" t="s">
        <v>51</v>
      </c>
      <c r="C114">
        <v>480</v>
      </c>
      <c r="D114">
        <v>208.375</v>
      </c>
      <c r="E114">
        <v>208.375</v>
      </c>
      <c r="BL114">
        <v>416.75</v>
      </c>
      <c r="BM114">
        <v>63.25</v>
      </c>
    </row>
    <row r="115" spans="1:65" x14ac:dyDescent="0.25">
      <c r="A115" t="s">
        <v>90</v>
      </c>
      <c r="B115" t="s">
        <v>51</v>
      </c>
      <c r="C115">
        <v>480</v>
      </c>
      <c r="D115">
        <v>208.375</v>
      </c>
      <c r="E115">
        <v>208.375</v>
      </c>
      <c r="BL115">
        <v>416.75</v>
      </c>
      <c r="BM115">
        <v>63.25</v>
      </c>
    </row>
    <row r="116" spans="1:65" x14ac:dyDescent="0.25">
      <c r="A116" t="s">
        <v>90</v>
      </c>
      <c r="B116" t="s">
        <v>51</v>
      </c>
      <c r="C116">
        <v>480</v>
      </c>
      <c r="D116">
        <v>208.375</v>
      </c>
      <c r="E116">
        <v>208.375</v>
      </c>
      <c r="BL116">
        <v>416.75</v>
      </c>
      <c r="BM116">
        <v>63.25</v>
      </c>
    </row>
    <row r="117" spans="1:65" x14ac:dyDescent="0.25">
      <c r="A117" t="s">
        <v>90</v>
      </c>
      <c r="B117" t="s">
        <v>51</v>
      </c>
      <c r="C117">
        <v>480</v>
      </c>
      <c r="D117">
        <v>201.875</v>
      </c>
      <c r="E117">
        <v>175.75</v>
      </c>
      <c r="F117">
        <v>91.625</v>
      </c>
      <c r="BL117">
        <v>469.25</v>
      </c>
      <c r="BM117">
        <v>10.75</v>
      </c>
    </row>
    <row r="118" spans="1:65" x14ac:dyDescent="0.25">
      <c r="A118" t="s">
        <v>90</v>
      </c>
      <c r="B118" t="s">
        <v>51</v>
      </c>
      <c r="C118">
        <v>480</v>
      </c>
      <c r="D118">
        <v>175.75</v>
      </c>
      <c r="E118">
        <v>175.75</v>
      </c>
      <c r="F118">
        <v>122.75</v>
      </c>
      <c r="BL118">
        <v>474.25</v>
      </c>
      <c r="BM118">
        <v>5.75</v>
      </c>
    </row>
    <row r="119" spans="1:65" x14ac:dyDescent="0.25">
      <c r="A119" t="s">
        <v>90</v>
      </c>
      <c r="B119" t="s">
        <v>51</v>
      </c>
      <c r="C119">
        <v>480</v>
      </c>
      <c r="D119">
        <v>175.75</v>
      </c>
      <c r="E119">
        <v>175.75</v>
      </c>
      <c r="F119">
        <v>121.125</v>
      </c>
      <c r="BL119">
        <v>472.625</v>
      </c>
      <c r="BM119">
        <v>7.375</v>
      </c>
    </row>
    <row r="120" spans="1:65" x14ac:dyDescent="0.25">
      <c r="A120" t="s">
        <v>90</v>
      </c>
      <c r="B120" t="s">
        <v>51</v>
      </c>
      <c r="C120">
        <v>480</v>
      </c>
      <c r="D120">
        <v>175.75</v>
      </c>
      <c r="E120">
        <v>175.75</v>
      </c>
      <c r="F120">
        <v>121.125</v>
      </c>
      <c r="BL120">
        <v>472.625</v>
      </c>
      <c r="BM120">
        <v>7.375</v>
      </c>
    </row>
    <row r="121" spans="1:65" x14ac:dyDescent="0.25">
      <c r="A121" t="s">
        <v>90</v>
      </c>
      <c r="B121" t="s">
        <v>51</v>
      </c>
      <c r="C121">
        <v>480</v>
      </c>
      <c r="D121">
        <v>175.75</v>
      </c>
      <c r="E121">
        <v>175.75</v>
      </c>
      <c r="F121">
        <v>103.875</v>
      </c>
      <c r="BL121">
        <v>455.375</v>
      </c>
      <c r="BM121">
        <v>24.625</v>
      </c>
    </row>
    <row r="122" spans="1:65" x14ac:dyDescent="0.25">
      <c r="A122" t="s">
        <v>90</v>
      </c>
      <c r="B122" t="s">
        <v>51</v>
      </c>
      <c r="C122">
        <v>480</v>
      </c>
      <c r="D122">
        <v>175.75</v>
      </c>
      <c r="E122">
        <v>175.75</v>
      </c>
      <c r="F122">
        <v>86</v>
      </c>
      <c r="BL122">
        <v>437.5</v>
      </c>
      <c r="BM122">
        <v>42.5</v>
      </c>
    </row>
    <row r="123" spans="1:65" x14ac:dyDescent="0.25">
      <c r="A123" t="s">
        <v>90</v>
      </c>
      <c r="B123" t="s">
        <v>51</v>
      </c>
      <c r="C123">
        <v>480</v>
      </c>
      <c r="D123">
        <v>175.75</v>
      </c>
      <c r="E123">
        <v>175.75</v>
      </c>
      <c r="F123">
        <v>77.125</v>
      </c>
      <c r="BL123">
        <v>428.625</v>
      </c>
      <c r="BM123">
        <v>51.375</v>
      </c>
    </row>
    <row r="124" spans="1:65" x14ac:dyDescent="0.25">
      <c r="A124" t="s">
        <v>90</v>
      </c>
      <c r="B124" t="s">
        <v>51</v>
      </c>
      <c r="C124">
        <v>480</v>
      </c>
      <c r="D124">
        <v>175.75</v>
      </c>
      <c r="E124">
        <v>160.25</v>
      </c>
      <c r="F124">
        <v>133.375</v>
      </c>
      <c r="BL124">
        <v>469.375</v>
      </c>
      <c r="BM124">
        <v>10.625</v>
      </c>
    </row>
    <row r="125" spans="1:65" x14ac:dyDescent="0.25">
      <c r="A125" t="s">
        <v>90</v>
      </c>
      <c r="B125" t="s">
        <v>51</v>
      </c>
      <c r="C125">
        <v>480</v>
      </c>
      <c r="D125">
        <v>160.25</v>
      </c>
      <c r="E125">
        <v>160.25</v>
      </c>
      <c r="F125">
        <v>77.125</v>
      </c>
      <c r="G125">
        <v>77.125</v>
      </c>
      <c r="BL125">
        <v>474.75</v>
      </c>
      <c r="BM125">
        <v>5.25</v>
      </c>
    </row>
    <row r="126" spans="1:65" x14ac:dyDescent="0.25">
      <c r="A126" t="s">
        <v>90</v>
      </c>
      <c r="B126" t="s">
        <v>51</v>
      </c>
      <c r="C126">
        <v>480</v>
      </c>
      <c r="D126">
        <v>160.25</v>
      </c>
      <c r="E126">
        <v>160.25</v>
      </c>
      <c r="BL126">
        <v>320.5</v>
      </c>
      <c r="BM126">
        <v>159.5</v>
      </c>
    </row>
    <row r="127" spans="1:65" x14ac:dyDescent="0.25">
      <c r="A127" t="s">
        <v>92</v>
      </c>
      <c r="B127" t="s">
        <v>53</v>
      </c>
      <c r="C127">
        <v>480</v>
      </c>
      <c r="D127">
        <v>153.375</v>
      </c>
      <c r="E127">
        <v>153.375</v>
      </c>
      <c r="F127">
        <v>153.375</v>
      </c>
      <c r="BL127">
        <v>460.125</v>
      </c>
      <c r="BM127">
        <v>19.875</v>
      </c>
    </row>
    <row r="128" spans="1:65" x14ac:dyDescent="0.25">
      <c r="A128" t="s">
        <v>92</v>
      </c>
      <c r="B128" t="s">
        <v>53</v>
      </c>
      <c r="C128">
        <v>480</v>
      </c>
      <c r="D128">
        <v>153.375</v>
      </c>
      <c r="E128">
        <v>153.375</v>
      </c>
      <c r="F128">
        <v>153.375</v>
      </c>
      <c r="BL128">
        <v>460.125</v>
      </c>
      <c r="BM128">
        <v>19.875</v>
      </c>
    </row>
    <row r="129" spans="1:65" x14ac:dyDescent="0.25">
      <c r="A129" t="s">
        <v>92</v>
      </c>
      <c r="B129" t="s">
        <v>53</v>
      </c>
      <c r="C129">
        <v>480</v>
      </c>
      <c r="D129">
        <v>153.375</v>
      </c>
      <c r="E129">
        <v>153.375</v>
      </c>
      <c r="F129">
        <v>153.375</v>
      </c>
      <c r="BL129">
        <v>460.125</v>
      </c>
      <c r="BM129">
        <v>19.875</v>
      </c>
    </row>
    <row r="130" spans="1:65" x14ac:dyDescent="0.25">
      <c r="A130" t="s">
        <v>92</v>
      </c>
      <c r="B130" t="s">
        <v>53</v>
      </c>
      <c r="C130">
        <v>480</v>
      </c>
      <c r="D130">
        <v>153.375</v>
      </c>
      <c r="E130">
        <v>153.375</v>
      </c>
      <c r="F130">
        <v>153.375</v>
      </c>
      <c r="BL130">
        <v>460.125</v>
      </c>
      <c r="BM130">
        <v>19.875</v>
      </c>
    </row>
    <row r="131" spans="1:65" x14ac:dyDescent="0.25">
      <c r="A131" t="s">
        <v>92</v>
      </c>
      <c r="B131" t="s">
        <v>53</v>
      </c>
      <c r="C131">
        <v>480</v>
      </c>
      <c r="D131">
        <v>153.375</v>
      </c>
      <c r="E131">
        <v>153.375</v>
      </c>
      <c r="F131">
        <v>153.375</v>
      </c>
      <c r="BL131">
        <v>460.125</v>
      </c>
      <c r="BM131">
        <v>19.875</v>
      </c>
    </row>
    <row r="132" spans="1:65" x14ac:dyDescent="0.25">
      <c r="A132" t="s">
        <v>92</v>
      </c>
      <c r="B132" t="s">
        <v>53</v>
      </c>
      <c r="C132">
        <v>480</v>
      </c>
      <c r="D132">
        <v>153.375</v>
      </c>
      <c r="E132">
        <v>153.375</v>
      </c>
      <c r="F132">
        <v>153.375</v>
      </c>
      <c r="BL132">
        <v>460.125</v>
      </c>
      <c r="BM132">
        <v>19.875</v>
      </c>
    </row>
    <row r="133" spans="1:65" x14ac:dyDescent="0.25">
      <c r="A133" t="s">
        <v>92</v>
      </c>
      <c r="B133" t="s">
        <v>53</v>
      </c>
      <c r="C133">
        <v>480</v>
      </c>
      <c r="D133">
        <v>153.375</v>
      </c>
      <c r="E133">
        <v>153.375</v>
      </c>
      <c r="F133">
        <v>153.375</v>
      </c>
      <c r="BL133">
        <v>460.125</v>
      </c>
      <c r="BM133">
        <v>19.875</v>
      </c>
    </row>
    <row r="134" spans="1:65" x14ac:dyDescent="0.25">
      <c r="A134" t="s">
        <v>92</v>
      </c>
      <c r="B134" t="s">
        <v>53</v>
      </c>
      <c r="C134">
        <v>480</v>
      </c>
      <c r="D134">
        <v>153.375</v>
      </c>
      <c r="E134">
        <v>153.375</v>
      </c>
      <c r="F134">
        <v>153.375</v>
      </c>
      <c r="BL134">
        <v>460.125</v>
      </c>
      <c r="BM134">
        <v>19.875</v>
      </c>
    </row>
    <row r="135" spans="1:65" x14ac:dyDescent="0.25">
      <c r="A135" t="s">
        <v>92</v>
      </c>
      <c r="B135" t="s">
        <v>53</v>
      </c>
      <c r="C135">
        <v>480</v>
      </c>
      <c r="D135">
        <v>153.375</v>
      </c>
      <c r="E135">
        <v>153.375</v>
      </c>
      <c r="F135">
        <v>153.375</v>
      </c>
      <c r="BL135">
        <v>460.125</v>
      </c>
      <c r="BM135">
        <v>19.875</v>
      </c>
    </row>
    <row r="136" spans="1:65" x14ac:dyDescent="0.25">
      <c r="A136" t="s">
        <v>92</v>
      </c>
      <c r="B136" t="s">
        <v>53</v>
      </c>
      <c r="C136">
        <v>480</v>
      </c>
      <c r="D136">
        <v>153.375</v>
      </c>
      <c r="E136">
        <v>153.375</v>
      </c>
      <c r="F136">
        <v>153.375</v>
      </c>
      <c r="BL136">
        <v>460.125</v>
      </c>
      <c r="BM136">
        <v>19.875</v>
      </c>
    </row>
    <row r="137" spans="1:65" x14ac:dyDescent="0.25">
      <c r="A137" t="s">
        <v>92</v>
      </c>
      <c r="B137" t="s">
        <v>53</v>
      </c>
      <c r="C137">
        <v>480</v>
      </c>
      <c r="D137">
        <v>153.375</v>
      </c>
      <c r="E137">
        <v>153.375</v>
      </c>
      <c r="F137">
        <v>153.375</v>
      </c>
      <c r="BL137">
        <v>460.125</v>
      </c>
      <c r="BM137">
        <v>19.875</v>
      </c>
    </row>
    <row r="138" spans="1:65" x14ac:dyDescent="0.25">
      <c r="A138" t="s">
        <v>92</v>
      </c>
      <c r="B138" t="s">
        <v>53</v>
      </c>
      <c r="C138">
        <v>480</v>
      </c>
      <c r="D138">
        <v>153.375</v>
      </c>
      <c r="E138">
        <v>153.375</v>
      </c>
      <c r="F138">
        <v>153.375</v>
      </c>
      <c r="BL138">
        <v>460.125</v>
      </c>
      <c r="BM138">
        <v>19.875</v>
      </c>
    </row>
    <row r="139" spans="1:65" x14ac:dyDescent="0.25">
      <c r="A139" t="s">
        <v>125</v>
      </c>
      <c r="B139" t="s">
        <v>133</v>
      </c>
      <c r="C139">
        <v>480</v>
      </c>
      <c r="D139">
        <v>207.375</v>
      </c>
      <c r="E139">
        <v>207.375</v>
      </c>
      <c r="BL139">
        <v>414.75</v>
      </c>
      <c r="BM139">
        <v>65.25</v>
      </c>
    </row>
    <row r="140" spans="1:65" x14ac:dyDescent="0.25">
      <c r="A140" t="s">
        <v>125</v>
      </c>
      <c r="B140" t="s">
        <v>133</v>
      </c>
      <c r="C140">
        <v>480</v>
      </c>
      <c r="D140">
        <v>207.375</v>
      </c>
      <c r="E140">
        <v>207.375</v>
      </c>
      <c r="BL140">
        <v>414.75</v>
      </c>
      <c r="BM140">
        <v>65.25</v>
      </c>
    </row>
    <row r="141" spans="1:65" x14ac:dyDescent="0.25">
      <c r="A141" t="s">
        <v>125</v>
      </c>
      <c r="B141" t="s">
        <v>133</v>
      </c>
      <c r="C141">
        <v>480</v>
      </c>
      <c r="D141">
        <v>207.375</v>
      </c>
      <c r="E141">
        <v>207.375</v>
      </c>
      <c r="BL141">
        <v>414.75</v>
      </c>
      <c r="BM141">
        <v>65.25</v>
      </c>
    </row>
    <row r="142" spans="1:65" x14ac:dyDescent="0.25">
      <c r="A142" t="s">
        <v>125</v>
      </c>
      <c r="B142" t="s">
        <v>133</v>
      </c>
      <c r="C142">
        <v>480</v>
      </c>
      <c r="D142">
        <v>207.375</v>
      </c>
      <c r="E142">
        <v>207.375</v>
      </c>
      <c r="BL142">
        <v>414.75</v>
      </c>
      <c r="BM142">
        <v>65.25</v>
      </c>
    </row>
    <row r="143" spans="1:65" x14ac:dyDescent="0.25">
      <c r="A143" t="s">
        <v>125</v>
      </c>
      <c r="B143" t="s">
        <v>133</v>
      </c>
      <c r="C143">
        <v>480</v>
      </c>
      <c r="D143">
        <v>175.75</v>
      </c>
      <c r="E143">
        <v>175.75</v>
      </c>
      <c r="BL143">
        <v>351.5</v>
      </c>
      <c r="BM143">
        <v>128.5</v>
      </c>
    </row>
    <row r="144" spans="1:65" x14ac:dyDescent="0.25">
      <c r="A144" t="s">
        <v>125</v>
      </c>
      <c r="B144" t="s">
        <v>133</v>
      </c>
      <c r="C144">
        <v>480</v>
      </c>
      <c r="D144">
        <v>175.75</v>
      </c>
      <c r="E144">
        <v>175.75</v>
      </c>
      <c r="BL144">
        <v>351.5</v>
      </c>
      <c r="BM144">
        <v>128.5</v>
      </c>
    </row>
    <row r="145" spans="1:65" x14ac:dyDescent="0.25">
      <c r="A145" t="s">
        <v>125</v>
      </c>
      <c r="B145" t="s">
        <v>133</v>
      </c>
      <c r="C145">
        <v>480</v>
      </c>
      <c r="D145">
        <v>175.75</v>
      </c>
      <c r="E145">
        <v>175.75</v>
      </c>
      <c r="BL145">
        <v>351.5</v>
      </c>
      <c r="BM145">
        <v>128.5</v>
      </c>
    </row>
    <row r="146" spans="1:65" x14ac:dyDescent="0.25">
      <c r="A146" t="s">
        <v>125</v>
      </c>
      <c r="B146" t="s">
        <v>133</v>
      </c>
      <c r="C146">
        <v>480</v>
      </c>
      <c r="D146">
        <v>163</v>
      </c>
      <c r="E146">
        <v>163</v>
      </c>
      <c r="BL146">
        <v>326</v>
      </c>
      <c r="BM146">
        <v>154</v>
      </c>
    </row>
    <row r="147" spans="1:65" x14ac:dyDescent="0.25">
      <c r="A147" t="s">
        <v>125</v>
      </c>
      <c r="B147" t="s">
        <v>133</v>
      </c>
      <c r="C147">
        <v>480</v>
      </c>
      <c r="D147">
        <v>155.625</v>
      </c>
      <c r="E147">
        <v>155.625</v>
      </c>
      <c r="F147">
        <v>155.625</v>
      </c>
      <c r="BL147">
        <v>466.875</v>
      </c>
      <c r="BM147">
        <v>13.125</v>
      </c>
    </row>
    <row r="148" spans="1:65" x14ac:dyDescent="0.25">
      <c r="A148" t="s">
        <v>125</v>
      </c>
      <c r="B148" t="s">
        <v>133</v>
      </c>
      <c r="C148">
        <v>480</v>
      </c>
      <c r="D148">
        <v>155.625</v>
      </c>
      <c r="E148">
        <v>155.625</v>
      </c>
      <c r="F148">
        <v>155.625</v>
      </c>
      <c r="BL148">
        <v>466.875</v>
      </c>
      <c r="BM148">
        <v>13.125</v>
      </c>
    </row>
    <row r="149" spans="1:65" x14ac:dyDescent="0.25">
      <c r="A149" t="s">
        <v>125</v>
      </c>
      <c r="B149" t="s">
        <v>133</v>
      </c>
      <c r="C149">
        <v>480</v>
      </c>
      <c r="D149">
        <v>155.625</v>
      </c>
      <c r="E149">
        <v>155.625</v>
      </c>
      <c r="BL149">
        <v>311.25</v>
      </c>
      <c r="BM149">
        <v>168.75</v>
      </c>
    </row>
    <row r="150" spans="1:65" x14ac:dyDescent="0.25">
      <c r="A150" t="s">
        <v>126</v>
      </c>
      <c r="B150" t="s">
        <v>132</v>
      </c>
      <c r="C150">
        <v>480</v>
      </c>
      <c r="D150">
        <v>211.125</v>
      </c>
      <c r="E150">
        <v>211.125</v>
      </c>
      <c r="BL150">
        <v>422.25</v>
      </c>
      <c r="BM150">
        <v>57.75</v>
      </c>
    </row>
    <row r="151" spans="1:65" x14ac:dyDescent="0.25">
      <c r="A151" t="s">
        <v>126</v>
      </c>
      <c r="B151" t="s">
        <v>132</v>
      </c>
      <c r="C151">
        <v>480</v>
      </c>
      <c r="D151">
        <v>211.125</v>
      </c>
      <c r="E151">
        <v>211.125</v>
      </c>
      <c r="BL151">
        <v>422.25</v>
      </c>
      <c r="BM151">
        <v>57.75</v>
      </c>
    </row>
    <row r="152" spans="1:65" x14ac:dyDescent="0.25">
      <c r="A152" t="s">
        <v>126</v>
      </c>
      <c r="B152" t="s">
        <v>132</v>
      </c>
      <c r="C152">
        <v>480</v>
      </c>
      <c r="D152">
        <v>211.125</v>
      </c>
      <c r="E152">
        <v>211.125</v>
      </c>
      <c r="BL152">
        <v>422.25</v>
      </c>
      <c r="BM152">
        <v>57.75</v>
      </c>
    </row>
    <row r="153" spans="1:65" x14ac:dyDescent="0.25">
      <c r="A153" t="s">
        <v>126</v>
      </c>
      <c r="B153" t="s">
        <v>132</v>
      </c>
      <c r="C153">
        <v>480</v>
      </c>
      <c r="D153">
        <v>211.125</v>
      </c>
      <c r="E153">
        <v>211.125</v>
      </c>
      <c r="BL153">
        <v>422.25</v>
      </c>
      <c r="BM153">
        <v>57.75</v>
      </c>
    </row>
    <row r="154" spans="1:65" x14ac:dyDescent="0.25">
      <c r="A154" t="s">
        <v>126</v>
      </c>
      <c r="B154" t="s">
        <v>132</v>
      </c>
      <c r="C154">
        <v>480</v>
      </c>
      <c r="D154">
        <v>211.125</v>
      </c>
      <c r="E154">
        <v>211.125</v>
      </c>
      <c r="BL154">
        <v>422.25</v>
      </c>
      <c r="BM154">
        <v>57.75</v>
      </c>
    </row>
    <row r="155" spans="1:65" x14ac:dyDescent="0.25">
      <c r="A155" t="s">
        <v>126</v>
      </c>
      <c r="B155" t="s">
        <v>132</v>
      </c>
      <c r="C155">
        <v>480</v>
      </c>
      <c r="D155">
        <v>205.375</v>
      </c>
      <c r="E155">
        <v>205.375</v>
      </c>
      <c r="BL155">
        <v>410.75</v>
      </c>
      <c r="BM155">
        <v>69.25</v>
      </c>
    </row>
    <row r="156" spans="1:65" x14ac:dyDescent="0.25">
      <c r="A156" t="s">
        <v>126</v>
      </c>
      <c r="B156" t="s">
        <v>132</v>
      </c>
      <c r="C156">
        <v>480</v>
      </c>
      <c r="D156">
        <v>205.375</v>
      </c>
      <c r="E156">
        <v>205.375</v>
      </c>
      <c r="BL156">
        <v>410.75</v>
      </c>
      <c r="BM156">
        <v>69.25</v>
      </c>
    </row>
    <row r="157" spans="1:65" x14ac:dyDescent="0.25">
      <c r="A157" t="s">
        <v>126</v>
      </c>
      <c r="B157" t="s">
        <v>132</v>
      </c>
      <c r="C157">
        <v>480</v>
      </c>
      <c r="D157">
        <v>205.375</v>
      </c>
      <c r="E157">
        <v>205.375</v>
      </c>
      <c r="BL157">
        <v>410.75</v>
      </c>
      <c r="BM157">
        <v>69.25</v>
      </c>
    </row>
    <row r="158" spans="1:65" x14ac:dyDescent="0.25">
      <c r="A158" t="s">
        <v>126</v>
      </c>
      <c r="B158" t="s">
        <v>132</v>
      </c>
      <c r="C158">
        <v>480</v>
      </c>
      <c r="D158">
        <v>175.75</v>
      </c>
      <c r="E158">
        <v>175.75</v>
      </c>
      <c r="BL158">
        <v>351.5</v>
      </c>
      <c r="BM158">
        <v>128.5</v>
      </c>
    </row>
    <row r="159" spans="1:65" x14ac:dyDescent="0.25">
      <c r="A159" t="s">
        <v>126</v>
      </c>
      <c r="B159" t="s">
        <v>132</v>
      </c>
      <c r="C159">
        <v>480</v>
      </c>
      <c r="D159">
        <v>175.75</v>
      </c>
      <c r="E159">
        <v>175.75</v>
      </c>
      <c r="BL159">
        <v>351.5</v>
      </c>
      <c r="BM159">
        <v>128.5</v>
      </c>
    </row>
    <row r="160" spans="1:65" x14ac:dyDescent="0.25">
      <c r="A160" t="s">
        <v>126</v>
      </c>
      <c r="B160" t="s">
        <v>132</v>
      </c>
      <c r="C160">
        <v>480</v>
      </c>
      <c r="D160">
        <v>175.75</v>
      </c>
      <c r="E160">
        <v>175.75</v>
      </c>
      <c r="BL160">
        <v>351.5</v>
      </c>
      <c r="BM160">
        <v>128.5</v>
      </c>
    </row>
    <row r="161" spans="1:65" x14ac:dyDescent="0.25">
      <c r="A161" t="s">
        <v>126</v>
      </c>
      <c r="B161" t="s">
        <v>132</v>
      </c>
      <c r="C161">
        <v>480</v>
      </c>
      <c r="D161">
        <v>157.25</v>
      </c>
      <c r="E161">
        <v>157.25</v>
      </c>
      <c r="F161">
        <v>157.25</v>
      </c>
      <c r="BL161">
        <v>471.75</v>
      </c>
      <c r="BM161">
        <v>8.25</v>
      </c>
    </row>
    <row r="162" spans="1:65" x14ac:dyDescent="0.25">
      <c r="A162" t="s">
        <v>126</v>
      </c>
      <c r="B162" t="s">
        <v>132</v>
      </c>
      <c r="C162">
        <v>480</v>
      </c>
      <c r="D162">
        <v>157.25</v>
      </c>
      <c r="E162">
        <v>157.25</v>
      </c>
      <c r="F162">
        <v>157.25</v>
      </c>
      <c r="BL162">
        <v>471.75</v>
      </c>
      <c r="BM162">
        <v>8.25</v>
      </c>
    </row>
    <row r="163" spans="1:65" x14ac:dyDescent="0.25">
      <c r="A163" t="s">
        <v>126</v>
      </c>
      <c r="B163" t="s">
        <v>132</v>
      </c>
      <c r="C163">
        <v>480</v>
      </c>
      <c r="D163">
        <v>157.25</v>
      </c>
      <c r="E163">
        <v>157.25</v>
      </c>
      <c r="F163">
        <v>157.25</v>
      </c>
      <c r="BL163">
        <v>471.75</v>
      </c>
      <c r="BM163">
        <v>8.25</v>
      </c>
    </row>
    <row r="164" spans="1:65" x14ac:dyDescent="0.25">
      <c r="A164" t="s">
        <v>126</v>
      </c>
      <c r="B164" t="s">
        <v>132</v>
      </c>
      <c r="C164">
        <v>480</v>
      </c>
      <c r="D164">
        <v>157.25</v>
      </c>
      <c r="E164">
        <v>155.625</v>
      </c>
      <c r="F164">
        <v>155.625</v>
      </c>
      <c r="BL164">
        <v>468.5</v>
      </c>
      <c r="BM164">
        <v>11.5</v>
      </c>
    </row>
    <row r="165" spans="1:65" x14ac:dyDescent="0.25">
      <c r="A165" t="s">
        <v>126</v>
      </c>
      <c r="B165" t="s">
        <v>132</v>
      </c>
      <c r="C165">
        <v>480</v>
      </c>
      <c r="D165">
        <v>155.625</v>
      </c>
      <c r="E165">
        <v>155.625</v>
      </c>
      <c r="F165">
        <v>155.125</v>
      </c>
      <c r="BL165">
        <v>466.375</v>
      </c>
      <c r="BM165">
        <v>13.625</v>
      </c>
    </row>
    <row r="166" spans="1:65" x14ac:dyDescent="0.25">
      <c r="A166" t="s">
        <v>126</v>
      </c>
      <c r="B166" t="s">
        <v>132</v>
      </c>
      <c r="C166">
        <v>480</v>
      </c>
      <c r="D166">
        <v>155.125</v>
      </c>
      <c r="E166">
        <v>155.125</v>
      </c>
      <c r="F166">
        <v>155.125</v>
      </c>
      <c r="BL166">
        <v>465.375</v>
      </c>
      <c r="BM166">
        <v>14.625</v>
      </c>
    </row>
    <row r="167" spans="1:65" x14ac:dyDescent="0.25">
      <c r="A167" t="s">
        <v>126</v>
      </c>
      <c r="B167" t="s">
        <v>132</v>
      </c>
      <c r="C167">
        <v>480</v>
      </c>
      <c r="D167">
        <v>155.125</v>
      </c>
      <c r="E167">
        <v>155.125</v>
      </c>
      <c r="F167">
        <v>155.125</v>
      </c>
      <c r="BL167">
        <v>465.375</v>
      </c>
      <c r="BM167">
        <v>14.625</v>
      </c>
    </row>
    <row r="168" spans="1:65" x14ac:dyDescent="0.25">
      <c r="A168" t="s">
        <v>126</v>
      </c>
      <c r="B168" t="s">
        <v>132</v>
      </c>
      <c r="C168">
        <v>480</v>
      </c>
      <c r="D168">
        <v>155.125</v>
      </c>
      <c r="E168">
        <v>155.125</v>
      </c>
      <c r="F168">
        <v>155.125</v>
      </c>
      <c r="BL168">
        <v>465.375</v>
      </c>
      <c r="BM168">
        <v>14.625</v>
      </c>
    </row>
    <row r="169" spans="1:65" x14ac:dyDescent="0.25">
      <c r="A169" t="s">
        <v>126</v>
      </c>
      <c r="B169" t="s">
        <v>132</v>
      </c>
      <c r="C169">
        <v>480</v>
      </c>
      <c r="D169">
        <v>155.125</v>
      </c>
      <c r="E169">
        <v>155.125</v>
      </c>
      <c r="BL169">
        <v>310.25</v>
      </c>
      <c r="BM169">
        <v>169.75</v>
      </c>
    </row>
    <row r="170" spans="1:65" x14ac:dyDescent="0.25">
      <c r="A170" t="s">
        <v>127</v>
      </c>
      <c r="B170" t="s">
        <v>129</v>
      </c>
      <c r="C170">
        <v>720</v>
      </c>
      <c r="D170">
        <v>203</v>
      </c>
      <c r="E170">
        <v>203</v>
      </c>
      <c r="F170">
        <v>203</v>
      </c>
      <c r="BL170">
        <v>609</v>
      </c>
      <c r="BM170">
        <v>111</v>
      </c>
    </row>
    <row r="171" spans="1:65" x14ac:dyDescent="0.25">
      <c r="A171" t="s">
        <v>127</v>
      </c>
      <c r="B171" t="s">
        <v>129</v>
      </c>
      <c r="C171">
        <v>720</v>
      </c>
      <c r="D171">
        <v>203</v>
      </c>
      <c r="BL171">
        <v>203</v>
      </c>
      <c r="BM171">
        <v>517</v>
      </c>
    </row>
    <row r="173" spans="1:65" x14ac:dyDescent="0.25">
      <c r="C173">
        <v>100320</v>
      </c>
      <c r="BL173">
        <v>91576.375</v>
      </c>
      <c r="BM173">
        <v>8743.625</v>
      </c>
    </row>
    <row r="174" spans="1:65" x14ac:dyDescent="0.25">
      <c r="BM174" s="53">
        <v>8.72E-2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2021-07-20T14:25:08Z</dcterms:modified>
</cp:coreProperties>
</file>