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FBD\IMP E-Mails and Information\WIP\Metal BOM Nesting\20210720\Iterations\"/>
    </mc:Choice>
  </mc:AlternateContent>
  <xr:revisionPtr revIDLastSave="0" documentId="13_ncr:1_{3C9EC36C-943A-4AF3-958D-69B5F8AFC933}" xr6:coauthVersionLast="47" xr6:coauthVersionMax="47" xr10:uidLastSave="{00000000-0000-0000-0000-000000000000}"/>
  <bookViews>
    <workbookView xWindow="-120" yWindow="-120" windowWidth="24240" windowHeight="13140" activeTab="3" xr2:uid="{00000000-000D-0000-FFFF-FFFF00000000}"/>
  </bookViews>
  <sheets>
    <sheet name="Sheet1" sheetId="1" r:id="rId1"/>
    <sheet name="Sheet2" sheetId="15" r:id="rId2"/>
    <sheet name="NestingSummary" sheetId="54" r:id="rId3"/>
    <sheet name="DetailedNesting" sheetId="5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<sst xmlns="http://schemas.openxmlformats.org/spreadsheetml/2006/main" count="222" uniqueCount="152">
  <si>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</si>
  <si>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</si>
  <si>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</si>
  <si>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</si>
  <si>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</si>
  <si>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</si>
  <si>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</si>
  <si>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</si>
  <si>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</si>
  <si>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</si>
  <si>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</si>
  <si>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</si>
  <si>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</si>
  <si>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</si>
  <si>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</si>
  <si>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</si>
  <si>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</si>
  <si>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</si>
  <si>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</si>
  <si>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</si>
  <si>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</si>
  <si>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</si>
  <si>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</si>
  <si>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</si>
  <si>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</si>
  <si>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</si>
  <si>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</si>
  <si>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</si>
  <si>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</si>
  <si>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</si>
  <si>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</si>
  <si>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</si>
  <si>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</si>
  <si>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</si>
  <si>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</si>
  <si>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</si>
  <si>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</si>
  <si>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</si>
  <si>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</si>
  <si>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</si>
  <si>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</si>
  <si>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</si>
  <si>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</si>
  <si>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</si>
  <si>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</si>
  <si>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</si>
  <si>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</si>
  <si>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</si>
  <si>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</si>
  <si>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</si>
  <si>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</si>
  <si>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</si>
  <si>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</si>
  <si>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</si>
  <si>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</si>
  <si>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</si>
  <si>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</si>
  <si>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</si>
  <si>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</si>
  <si>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</si>
  <si>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</si>
  <si>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</si>
  <si>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</si>
  <si>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</si>
  <si>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</si>
  <si>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</si>
  <si>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</si>
  <si>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</si>
  <si>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</si>
  <si>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</si>
  <si>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</si>
  <si>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</si>
  <si>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</si>
  <si>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</si>
  <si>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</si>
  <si>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</si>
  <si>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</si>
  <si>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Required raw material present in sheet2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</si>
  <si>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</si>
  <si>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</si>
  <si>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</si>
  <si>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</si>
  <si>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</si>
  <si>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</si>
  <si>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</si>
  <si>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</si>
  <si>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Quantity cell should be a number/fraction</t>
  </si>
  <si>
    <t>Length is in inches and the cell should be in number/fraction</t>
  </si>
  <si>
    <t>MC12x45</t>
  </si>
  <si>
    <t>Any item length should not exceed (purchase length - 2 inches)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</si>
  <si>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</si>
  <si>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</si>
  <si>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</si>
  <si>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</si>
  <si>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</si>
  <si>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</si>
  <si>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</si>
  <si>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</si>
  <si>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</si>
  <si>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</si>
  <si>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</si>
  <si>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</si>
  <si>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</si>
  <si>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</si>
  <si>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</si>
  <si>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</si>
  <si>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</si>
  <si>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</si>
  <si>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</si>
  <si>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HSS8x4x5/8</t>
  </si>
  <si>
    <t>804-00089</t>
  </si>
  <si>
    <t>804-14012</t>
  </si>
  <si>
    <t>L3x2x3/16</t>
  </si>
  <si>
    <t>L2x2x1/4</t>
  </si>
  <si>
    <t>HSS8x2x3/8</t>
  </si>
  <si>
    <t>Raw Ang. 3" X 2" X 3/16"</t>
  </si>
  <si>
    <t>804-14007</t>
  </si>
  <si>
    <t>Raw Ang. 2 X 2 X 1/4"</t>
  </si>
  <si>
    <t xml:space="preserve">Tubing 8"x2"x3/8"  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</si>
  <si>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</si>
  <si>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</si>
  <si>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</si>
  <si>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</si>
  <si>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</si>
  <si>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</si>
  <si>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</si>
  <si>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</si>
  <si>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Cut Length1</t>
  </si>
  <si>
    <t>Cut Length2</t>
  </si>
  <si>
    <t>Cut Length3</t>
  </si>
  <si>
    <t>Total Cut Length</t>
  </si>
  <si>
    <t>Total Waste</t>
  </si>
  <si>
    <t>W12x50</t>
  </si>
  <si>
    <t>C12x30</t>
  </si>
  <si>
    <t>L3x3x1/2</t>
  </si>
  <si>
    <t>L7x4x3/8</t>
  </si>
  <si>
    <t>HSS3x2x1/4</t>
  </si>
  <si>
    <t>HSS6x4x3/8</t>
  </si>
  <si>
    <t>HSS6x6x3/8</t>
  </si>
  <si>
    <t>W12x35</t>
  </si>
  <si>
    <t>804-00059</t>
  </si>
  <si>
    <t>P1</t>
  </si>
  <si>
    <t>804-05037</t>
  </si>
  <si>
    <t>P2</t>
  </si>
  <si>
    <t>804-00053</t>
  </si>
  <si>
    <t>804-00957</t>
  </si>
  <si>
    <t>804-00040</t>
  </si>
  <si>
    <t>804-14013</t>
  </si>
  <si>
    <t>P3</t>
  </si>
  <si>
    <t>Example</t>
  </si>
  <si>
    <t>P01559</t>
  </si>
  <si>
    <t>Cut Length4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</si>
</sst>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0" borderId="0" xfId="0" applyFont="1" applyFill="1"/>
    <xf numFmtId="0" fontId="7" fillId="0" borderId="0" xfId="0" applyFont="1" applyBorder="1"/>
    <xf numFmtId="0" fontId="7" fillId="5" borderId="1" xfId="0" applyFont="1" applyFill="1" applyBorder="1" applyAlignment="1">
      <alignment horizontal="left"/>
    </xf>
    <xf numFmtId="0" fontId="9" fillId="0" borderId="0" xfId="0" applyFont="1"/>
    <xf numFmtId="10" fontId="0" fillId="0" borderId="0" xfId="0" applyNumberFormat="1"/>
    <xf numFmtId="0" fontId="2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2" fontId="5" fillId="0" borderId="3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165" formatCode="0.000"/>
      <alignment horizontal="center" vertical="center" textRotation="0" wrapText="1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indexed="8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180975</xdr:rowOff>
        </xdr:from>
        <xdr:to>
          <xdr:col>12</xdr:col>
          <xdr:colOff>3200400</xdr:colOff>
          <xdr:row>3</xdr:row>
          <xdr:rowOff>476250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18" totalsRowShown="0" dataDxfId="16">
  <autoFilter ref="A4:K18" xr:uid="{CDF9619B-F0E7-490D-BEFA-727196256470}">
    <filterColumn colId="4">
      <filters>
        <filter val="HSS3x3x3/8"/>
      </filters>
    </filterColumn>
  </autoFilter>
  <sortState xmlns:xlrd2="http://schemas.microsoft.com/office/spreadsheetml/2017/richdata2" ref="A5:K7">
    <sortCondition descending="1" ref="G5:G7"/>
  </sortState>
  <tableColumns count="11">
    <tableColumn id="1" xr3:uid="{4774FE6E-D79F-4E40-98D1-FE10D40ABC07}" name="SL. NO." dataDxfId="15"/>
    <tableColumn id="2" xr3:uid="{9884691F-0A0D-47CB-8EF0-9AE590C29CC9}" name="PART#" dataDxfId="14"/>
    <tableColumn id="3" xr3:uid="{3868E0BB-A494-4109-A7E8-244E1F15175E}" name="LEGEND" dataDxfId="13"/>
    <tableColumn id="4" xr3:uid="{A4F222A3-F838-4FED-8402-8D5E4131929A}" name="ITEM #" dataDxfId="12"/>
    <tableColumn id="5" xr3:uid="{6C82C4FD-0222-4263-8F8F-1DE29AB0E7E9}" name="DESCRIPTION" dataDxfId="11"/>
    <tableColumn id="6" xr3:uid="{74DDC800-B5E7-459A-ABF8-ABAF51A457AC}" name="QTY." dataDxfId="10"/>
    <tableColumn id="7" xr3:uid="{119738FE-8C63-4234-ACE4-FA9F6A046F9C}" name="LENGTH (in.)" dataDxfId="9"/>
    <tableColumn id="8" xr3:uid="{E4370ABC-D39E-4392-8F0E-6B9C56981840}" name="RAW MATERIAL _x000a_NUMBER" dataDxfId="8"/>
    <tableColumn id="9" xr3:uid="{1A2B8888-81A1-4DB4-A951-BBABDB4647C7}" name="SUPPLIER" dataDxfId="7"/>
    <tableColumn id="10" xr3:uid="{709F9ABD-F4C3-4F5E-9F71-D158E141171F}" name="SUB-ASSEMBLY" dataDxfId="6"/>
    <tableColumn id="11" xr3:uid="{047AD226-E9D9-4FBE-A92A-B42E92B0B3A3}" name="REMARKS" dataDxfId="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053119-4ADA-4D5F-8B71-ECA915335DDC}" name="Table1" displayName="Table1_1" ref="A1:F3" totalsRowShown="0" headerRowDxfId="0">
  <autoFilter ref="A1:F3" xr:uid="{82053119-4ADA-4D5F-8B71-ECA915335DDC}"/>
  <tableColumns count="6">
    <tableColumn id="1" xr3:uid="{D97BF510-373E-4DDE-AC6D-38D0AD03F594}" name="Item Description"/>
    <tableColumn id="2" xr3:uid="{DBF70A7E-516C-4844-B9B9-D486ABB946EF}" name="Raw Material Number"/>
    <tableColumn id="3" xr3:uid="{1684B924-BC7E-4E3B-88AC-FD30721FB480}" name="Qty"/>
    <tableColumn id="4" xr3:uid="{A3814FB0-1C58-49F1-BE98-D7CEB92C2200}" name="Purchase Length(inches)"/>
    <tableColumn id="5" xr3:uid="{649190CC-14F4-49A4-B5CA-35B6FA443E20}" name="Purchase Length(ft)"/>
    <tableColumn id="6" xr3:uid="{82F268F6-2C46-414F-8E90-A9ECF46E0EE7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1ED84C-7019-4914-8945-695716A57A2E}" name="Table2" displayName="Table2" ref="A1:I6" totalsRowShown="0">
  <autoFilter ref="A1:I6" xr:uid="{351ED84C-7019-4914-8945-695716A57A2E}"/>
  <tableColumns count="9">
    <tableColumn id="1" xr3:uid="{CE215138-3027-430D-87AE-5E1C40D08A52}" name="Item Description"/>
    <tableColumn id="2" xr3:uid="{FFB5679B-143C-4330-A3C5-C97C4F148B07}" name="Raw Material"/>
    <tableColumn id="3" xr3:uid="{37625417-DC32-4581-A122-34E6DA8C6771}" name="Purchase Length"/>
    <tableColumn id="4" xr3:uid="{F700005D-5CD7-42EE-8EBF-60C3DB2B830D}" name="Cut Length1"/>
    <tableColumn id="5" xr3:uid="{4E3CCA07-49A4-45A1-8AD5-D5931D078821}" name="Cut Length2"/>
    <tableColumn id="6" xr3:uid="{C85DA035-4732-4FD2-9D5C-DD1CFAD2044E}" name="Cut Length3"/>
    <tableColumn id="7" xr3:uid="{F31555C5-15D7-4196-A5A4-92A00F57AC7C}" name="Cut Length4"/>
    <tableColumn id="8" xr3:uid="{A32A6754-53B7-4316-873E-40F13C872C60}" name="Total Cut Length"/>
    <tableColumn id="9" xr3:uid="{D446565C-00E2-411C-8ED2-1EB56F843855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20"/>
  <sheetViews>
    <sheetView zoomScale="115" zoomScaleNormal="115" workbookViewId="0">
      <selection activeCell="F13" sqref="F13"/>
    </sheetView>
  </sheetViews>
  <sheetFormatPr defaultRowHeight="15" x14ac:dyDescent="0.25"/>
  <cols>
    <col min="1" max="1" width="15.42578125" style="7" customWidth="1"/>
    <col min="2" max="2" width="12.28515625" style="8" customWidth="1"/>
    <col min="3" max="3" width="13.140625" style="7" bestFit="1" customWidth="1"/>
    <col min="4" max="4" width="11.28515625" style="7" bestFit="1" customWidth="1"/>
    <col min="5" max="5" width="17.42578125" style="7" customWidth="1"/>
    <col min="6" max="6" width="9.7109375" style="7" bestFit="1" customWidth="1"/>
    <col min="7" max="7" width="11.7109375" style="13" customWidth="1"/>
    <col min="8" max="9" width="8.42578125" style="7" customWidth="1"/>
    <col min="10" max="10" width="11.7109375" style="7" bestFit="1" customWidth="1"/>
    <col min="11" max="11" width="9.7109375" style="7" customWidth="1"/>
    <col min="12" max="12" width="3.85546875" style="7" hidden="1" customWidth="1"/>
    <col min="13" max="13" width="42.28515625" bestFit="1" customWidth="1"/>
    <col min="14" max="16" width="11.5703125" customWidth="1"/>
    <col min="17" max="1023" width="11.5703125" style="7" customWidth="1"/>
  </cols>
  <sheetData>
    <row r="1" spans="1:1023" x14ac:dyDescent="0.25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25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25">
      <c r="E3" s="9"/>
    </row>
    <row r="4" spans="1:1023" ht="66" customHeight="1" x14ac:dyDescent="0.25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10" t="s">
        <v>13</v>
      </c>
      <c r="I4" s="10" t="s">
        <v>74</v>
      </c>
      <c r="J4" s="10" t="s">
        <v>75</v>
      </c>
      <c r="K4" s="10" t="s">
        <v>76</v>
      </c>
    </row>
    <row r="5" spans="1:1023" s="16" customFormat="1" ht="12.75" hidden="1" x14ac:dyDescent="0.2">
      <c r="A5" s="24">
        <v>1</v>
      </c>
      <c r="B5" s="25">
        <v>1289930</v>
      </c>
      <c r="C5" s="26" t="s">
        <v>150</v>
      </c>
      <c r="D5" s="25"/>
      <c r="E5" s="25" t="s">
        <v>109</v>
      </c>
      <c r="F5" s="26">
        <v>2</v>
      </c>
      <c r="G5" s="27">
        <v>136.625</v>
      </c>
      <c r="H5" s="24"/>
      <c r="I5" s="24"/>
      <c r="J5" s="24"/>
      <c r="K5" s="24"/>
      <c r="L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2.75" hidden="1" x14ac:dyDescent="0.2">
      <c r="A6" s="24">
        <v>2</v>
      </c>
      <c r="B6" s="25">
        <v>1289931</v>
      </c>
      <c r="C6" s="26" t="s">
        <v>150</v>
      </c>
      <c r="D6" s="25"/>
      <c r="E6" s="25" t="s">
        <v>109</v>
      </c>
      <c r="F6" s="26">
        <v>2</v>
      </c>
      <c r="G6" s="27">
        <v>128.75</v>
      </c>
      <c r="H6" s="24"/>
      <c r="I6" s="24"/>
      <c r="J6" s="24"/>
      <c r="K6" s="24"/>
      <c r="L6" s="15"/>
      <c r="M6" s="21" t="s">
        <v>77</v>
      </c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2.75" hidden="1" x14ac:dyDescent="0.2">
      <c r="A7" s="24">
        <v>3</v>
      </c>
      <c r="B7" s="25">
        <v>1289932</v>
      </c>
      <c r="C7" s="26" t="s">
        <v>150</v>
      </c>
      <c r="D7" s="25"/>
      <c r="E7" s="25" t="s">
        <v>109</v>
      </c>
      <c r="F7" s="26">
        <v>2</v>
      </c>
      <c r="G7" s="27">
        <v>191.125</v>
      </c>
      <c r="H7" s="24"/>
      <c r="I7" s="24"/>
      <c r="J7" s="24"/>
      <c r="K7" s="24"/>
      <c r="L7" s="17"/>
      <c r="M7" s="21" t="s">
        <v>86</v>
      </c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2.75" x14ac:dyDescent="0.2">
      <c r="A8" s="24">
        <v>10</v>
      </c>
      <c r="B8" s="25" t="s">
        <v>149</v>
      </c>
      <c r="C8" s="26"/>
      <c r="D8" s="25"/>
      <c r="E8" s="25" t="s">
        <v>90</v>
      </c>
      <c r="F8" s="26">
        <v>1</v>
      </c>
      <c r="G8" s="27">
        <v>260</v>
      </c>
      <c r="H8" s="24"/>
      <c r="I8" s="24"/>
      <c r="J8" s="24"/>
      <c r="K8" s="24"/>
      <c r="L8" s="17"/>
      <c r="M8" s="21" t="s">
        <v>87</v>
      </c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2.75" x14ac:dyDescent="0.2">
      <c r="A9" s="24">
        <v>11</v>
      </c>
      <c r="B9" s="25" t="s">
        <v>149</v>
      </c>
      <c r="C9" s="26"/>
      <c r="D9" s="25"/>
      <c r="E9" s="25" t="s">
        <v>90</v>
      </c>
      <c r="F9" s="26">
        <v>1</v>
      </c>
      <c r="G9" s="27">
        <v>260</v>
      </c>
      <c r="H9" s="24"/>
      <c r="I9" s="24"/>
      <c r="J9" s="24"/>
      <c r="K9" s="24"/>
      <c r="L9" s="15"/>
      <c r="M9" s="21" t="s">
        <v>89</v>
      </c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2.75" x14ac:dyDescent="0.2">
      <c r="A10" s="24">
        <v>12</v>
      </c>
      <c r="B10" s="25" t="s">
        <v>149</v>
      </c>
      <c r="C10" s="26"/>
      <c r="D10" s="25"/>
      <c r="E10" s="25" t="s">
        <v>90</v>
      </c>
      <c r="F10" s="26">
        <v>1</v>
      </c>
      <c r="G10" s="27">
        <v>240</v>
      </c>
      <c r="H10" s="24"/>
      <c r="I10" s="24"/>
      <c r="J10" s="24"/>
      <c r="K10" s="24"/>
      <c r="L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2.75" x14ac:dyDescent="0.2">
      <c r="A11" s="24">
        <v>13</v>
      </c>
      <c r="B11" s="25" t="s">
        <v>149</v>
      </c>
      <c r="C11" s="26"/>
      <c r="D11" s="25"/>
      <c r="E11" s="25" t="s">
        <v>90</v>
      </c>
      <c r="F11" s="26">
        <v>1</v>
      </c>
      <c r="G11" s="27">
        <v>180</v>
      </c>
      <c r="H11" s="24"/>
      <c r="I11" s="24"/>
      <c r="J11" s="24"/>
      <c r="K11" s="24"/>
      <c r="L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2.75" x14ac:dyDescent="0.2">
      <c r="A12" s="24">
        <v>14</v>
      </c>
      <c r="B12" s="25" t="s">
        <v>149</v>
      </c>
      <c r="C12" s="26"/>
      <c r="D12" s="25"/>
      <c r="E12" s="25" t="s">
        <v>90</v>
      </c>
      <c r="F12" s="26">
        <v>1</v>
      </c>
      <c r="G12" s="27">
        <v>160</v>
      </c>
      <c r="H12" s="24"/>
      <c r="I12" s="24"/>
      <c r="J12" s="24"/>
      <c r="K12" s="24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2.75" x14ac:dyDescent="0.2">
      <c r="A13" s="24">
        <v>15</v>
      </c>
      <c r="B13" s="25" t="s">
        <v>149</v>
      </c>
      <c r="C13" s="26"/>
      <c r="D13" s="25"/>
      <c r="E13" s="25" t="s">
        <v>90</v>
      </c>
      <c r="F13" s="26">
        <v>1</v>
      </c>
      <c r="G13" s="27">
        <v>92</v>
      </c>
      <c r="H13" s="24"/>
      <c r="I13" s="24"/>
      <c r="J13" s="24"/>
      <c r="K13" s="24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2.75" x14ac:dyDescent="0.2">
      <c r="A14" s="24">
        <v>16</v>
      </c>
      <c r="B14" s="25" t="s">
        <v>149</v>
      </c>
      <c r="C14" s="26"/>
      <c r="D14" s="25"/>
      <c r="E14" s="25" t="s">
        <v>90</v>
      </c>
      <c r="F14" s="26">
        <v>1</v>
      </c>
      <c r="G14" s="27">
        <v>74</v>
      </c>
      <c r="H14" s="24"/>
      <c r="I14" s="24"/>
      <c r="J14" s="24"/>
      <c r="K14" s="24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2.75" x14ac:dyDescent="0.2">
      <c r="A15" s="24">
        <v>13</v>
      </c>
      <c r="B15" s="25" t="s">
        <v>149</v>
      </c>
      <c r="C15" s="26"/>
      <c r="D15" s="25"/>
      <c r="E15" s="25" t="s">
        <v>90</v>
      </c>
      <c r="F15" s="26">
        <v>1</v>
      </c>
      <c r="G15" s="27">
        <v>74</v>
      </c>
      <c r="H15" s="24"/>
      <c r="I15" s="24"/>
      <c r="J15" s="24"/>
      <c r="K15" s="24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2.75" x14ac:dyDescent="0.2">
      <c r="A16" s="24">
        <v>14</v>
      </c>
      <c r="B16" s="25" t="s">
        <v>149</v>
      </c>
      <c r="C16" s="26"/>
      <c r="D16" s="25"/>
      <c r="E16" s="25" t="s">
        <v>90</v>
      </c>
      <c r="F16" s="26">
        <v>1</v>
      </c>
      <c r="G16" s="27">
        <v>54</v>
      </c>
      <c r="H16" s="24"/>
      <c r="I16" s="24"/>
      <c r="J16" s="24"/>
      <c r="K16" s="24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2.75" x14ac:dyDescent="0.2">
      <c r="A17" s="24">
        <v>15</v>
      </c>
      <c r="B17" s="25" t="s">
        <v>149</v>
      </c>
      <c r="C17" s="26"/>
      <c r="D17" s="25"/>
      <c r="E17" s="25" t="s">
        <v>90</v>
      </c>
      <c r="F17" s="26">
        <v>1</v>
      </c>
      <c r="G17" s="27">
        <v>8</v>
      </c>
      <c r="H17" s="24"/>
      <c r="I17" s="24"/>
      <c r="J17" s="24"/>
      <c r="K17" s="24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2.75" x14ac:dyDescent="0.2">
      <c r="A18" s="24">
        <v>16</v>
      </c>
      <c r="B18" s="25" t="s">
        <v>149</v>
      </c>
      <c r="C18" s="26"/>
      <c r="D18" s="25"/>
      <c r="E18" s="25" t="s">
        <v>90</v>
      </c>
      <c r="F18" s="26">
        <v>1</v>
      </c>
      <c r="G18" s="27">
        <v>8</v>
      </c>
      <c r="H18" s="24"/>
      <c r="I18" s="24"/>
      <c r="J18" s="24"/>
      <c r="K18" s="24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2.75" x14ac:dyDescent="0.2">
      <c r="A19" s="7"/>
      <c r="B19" s="8"/>
      <c r="C19" s="7"/>
      <c r="D19" s="7"/>
      <c r="E19" s="7"/>
      <c r="F19" s="7"/>
      <c r="G19" s="13"/>
      <c r="H19" s="7"/>
      <c r="I19" s="7"/>
      <c r="J19" s="7"/>
      <c r="K19" s="7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2.75" x14ac:dyDescent="0.2">
      <c r="A20" s="7"/>
      <c r="B20" s="8"/>
      <c r="C20" s="7"/>
      <c r="D20" s="7"/>
      <c r="E20" s="7"/>
      <c r="F20" s="7"/>
      <c r="G20" s="13"/>
      <c r="H20" s="7"/>
      <c r="I20" s="7"/>
      <c r="J20" s="7"/>
      <c r="K20" s="7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180975</xdr:rowOff>
                  </from>
                  <to>
                    <xdr:col>12</xdr:col>
                    <xdr:colOff>3200400</xdr:colOff>
                    <xdr:row>3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J40"/>
  <sheetViews>
    <sheetView topLeftCell="A13" zoomScale="115" zoomScaleNormal="115" workbookViewId="0">
      <selection activeCell="A20" sqref="A20"/>
    </sheetView>
  </sheetViews>
  <sheetFormatPr defaultColWidth="8.85546875" defaultRowHeight="11.25" x14ac:dyDescent="0.2"/>
  <cols>
    <col min="1" max="1" width="38.42578125" style="16" bestFit="1" customWidth="1"/>
    <col min="2" max="2" width="10.7109375" style="16" bestFit="1" customWidth="1"/>
    <col min="3" max="3" width="9.7109375" style="19" bestFit="1" customWidth="1"/>
    <col min="4" max="4" width="6.42578125" style="16" bestFit="1" customWidth="1"/>
    <col min="5" max="5" width="4.42578125" style="16" bestFit="1" customWidth="1"/>
    <col min="6" max="6" width="47.85546875" style="16" bestFit="1" customWidth="1"/>
    <col min="7" max="7" width="10.5703125" style="16" bestFit="1" customWidth="1"/>
    <col min="8" max="8" width="54.7109375" style="16" bestFit="1" customWidth="1"/>
    <col min="9" max="16384" width="8.85546875" style="16"/>
  </cols>
  <sheetData>
    <row r="1" spans="1:8" x14ac:dyDescent="0.2">
      <c r="A1" s="16" t="s">
        <v>68</v>
      </c>
      <c r="B1" s="16" t="s">
        <v>69</v>
      </c>
      <c r="C1" s="19" t="s">
        <v>70</v>
      </c>
      <c r="D1" s="16" t="s">
        <v>71</v>
      </c>
      <c r="E1" s="16" t="s">
        <v>72</v>
      </c>
      <c r="F1" s="16" t="s">
        <v>73</v>
      </c>
    </row>
    <row r="2" spans="1:8" x14ac:dyDescent="0.2">
      <c r="A2" s="16" t="s">
        <v>60</v>
      </c>
      <c r="B2" s="16"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8" x14ac:dyDescent="0.2">
      <c r="A3" s="16" t="s">
        <v>83</v>
      </c>
      <c r="B3" s="16"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8" x14ac:dyDescent="0.2">
      <c r="A4" s="16" t="s">
        <v>84</v>
      </c>
      <c r="B4" s="16"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8" x14ac:dyDescent="0.2">
      <c r="A5" s="16" t="s">
        <v>82</v>
      </c>
      <c r="B5" s="16">
        <v>600</v>
      </c>
      <c r="C5" s="16" t="s">
        <v>23</v>
      </c>
      <c r="D5" s="16">
        <v>50</v>
      </c>
      <c r="E5" s="16" t="s">
        <v>18</v>
      </c>
      <c r="F5" s="16" t="s">
        <v>24</v>
      </c>
    </row>
    <row r="6" spans="1:8" x14ac:dyDescent="0.2">
      <c r="A6" s="16" t="s">
        <v>81</v>
      </c>
      <c r="B6" s="16">
        <v>720</v>
      </c>
      <c r="C6" s="16" t="s">
        <v>14</v>
      </c>
      <c r="D6" s="16">
        <v>60</v>
      </c>
      <c r="E6" s="16" t="s">
        <v>18</v>
      </c>
      <c r="F6" s="16" t="s">
        <v>25</v>
      </c>
    </row>
    <row r="7" spans="1:8" x14ac:dyDescent="0.2">
      <c r="A7" s="16" t="s">
        <v>61</v>
      </c>
      <c r="B7" s="16">
        <v>720</v>
      </c>
      <c r="C7" s="16" t="s">
        <v>26</v>
      </c>
      <c r="D7" s="16">
        <v>60</v>
      </c>
      <c r="E7" s="16" t="s">
        <v>18</v>
      </c>
      <c r="F7" s="16" t="s">
        <v>27</v>
      </c>
    </row>
    <row r="8" spans="1:8" x14ac:dyDescent="0.2">
      <c r="A8" s="16" t="s">
        <v>62</v>
      </c>
      <c r="B8" s="16">
        <v>480</v>
      </c>
      <c r="C8" s="16" t="s">
        <v>28</v>
      </c>
      <c r="D8" s="16">
        <v>40</v>
      </c>
      <c r="E8" s="16" t="s">
        <v>18</v>
      </c>
      <c r="F8" s="16" t="s">
        <v>29</v>
      </c>
    </row>
    <row r="9" spans="1:8" x14ac:dyDescent="0.2">
      <c r="A9" s="16" t="s">
        <v>85</v>
      </c>
      <c r="B9" s="16">
        <v>480</v>
      </c>
      <c r="C9" s="16" t="s">
        <v>30</v>
      </c>
      <c r="D9" s="16">
        <v>40</v>
      </c>
      <c r="E9" s="16" t="s">
        <v>18</v>
      </c>
      <c r="F9" s="16" t="s">
        <v>31</v>
      </c>
    </row>
    <row r="10" spans="1:8" x14ac:dyDescent="0.2">
      <c r="A10" s="16" t="s">
        <v>63</v>
      </c>
      <c r="B10" s="16">
        <v>480</v>
      </c>
      <c r="C10" s="16" t="s">
        <v>32</v>
      </c>
      <c r="D10" s="16">
        <v>40</v>
      </c>
      <c r="E10" s="16" t="s">
        <v>18</v>
      </c>
      <c r="F10" s="16" t="s">
        <v>33</v>
      </c>
    </row>
    <row r="11" spans="1:8" x14ac:dyDescent="0.2">
      <c r="A11" s="16" t="s">
        <v>64</v>
      </c>
      <c r="B11" s="16">
        <v>600</v>
      </c>
      <c r="C11" s="16" t="s">
        <v>15</v>
      </c>
      <c r="D11" s="16">
        <v>50</v>
      </c>
      <c r="E11" s="16" t="s">
        <v>18</v>
      </c>
      <c r="F11" s="16" t="s">
        <v>34</v>
      </c>
    </row>
    <row r="12" spans="1:8" x14ac:dyDescent="0.2">
      <c r="A12" s="16" t="s">
        <v>80</v>
      </c>
      <c r="B12" s="16">
        <v>480</v>
      </c>
      <c r="C12" s="16" t="s">
        <v>35</v>
      </c>
      <c r="D12" s="16">
        <v>40</v>
      </c>
      <c r="E12" s="16" t="s">
        <v>18</v>
      </c>
      <c r="F12" s="16" t="s">
        <v>36</v>
      </c>
    </row>
    <row r="13" spans="1:8" x14ac:dyDescent="0.2">
      <c r="A13" s="16" t="s">
        <v>65</v>
      </c>
      <c r="B13" s="16">
        <v>480</v>
      </c>
      <c r="C13" s="16" t="s">
        <v>37</v>
      </c>
      <c r="D13" s="16">
        <v>40</v>
      </c>
      <c r="E13" s="16" t="s">
        <v>18</v>
      </c>
      <c r="F13" s="16" t="s">
        <v>38</v>
      </c>
    </row>
    <row r="14" spans="1:8" x14ac:dyDescent="0.2">
      <c r="A14" s="16" t="s">
        <v>66</v>
      </c>
      <c r="B14" s="16">
        <v>480</v>
      </c>
      <c r="C14" s="16" t="s">
        <v>39</v>
      </c>
      <c r="D14" s="16">
        <v>40</v>
      </c>
      <c r="E14" s="16" t="s">
        <v>18</v>
      </c>
      <c r="F14" s="16" t="s">
        <v>40</v>
      </c>
    </row>
    <row r="15" spans="1:8" x14ac:dyDescent="0.2">
      <c r="A15" s="16" t="s">
        <v>88</v>
      </c>
      <c r="B15" s="16">
        <v>720</v>
      </c>
      <c r="C15" s="16" t="s">
        <v>41</v>
      </c>
      <c r="D15" s="16">
        <v>60</v>
      </c>
      <c r="E15" s="16" t="s">
        <v>18</v>
      </c>
      <c r="F15" s="16" t="s">
        <v>42</v>
      </c>
      <c r="H15" s="19"/>
    </row>
    <row r="16" spans="1:8" x14ac:dyDescent="0.2">
      <c r="A16" s="16" t="s">
        <v>67</v>
      </c>
      <c r="B16" s="16">
        <v>720</v>
      </c>
      <c r="C16" s="16" t="s">
        <v>43</v>
      </c>
      <c r="D16" s="16">
        <v>60</v>
      </c>
      <c r="E16" s="16" t="s">
        <v>18</v>
      </c>
      <c r="F16" s="16" t="s">
        <v>44</v>
      </c>
    </row>
    <row r="17" spans="1:10" x14ac:dyDescent="0.2">
      <c r="A17" s="16" t="s">
        <v>79</v>
      </c>
      <c r="B17" s="16">
        <v>240</v>
      </c>
      <c r="C17" s="16" t="s">
        <v>45</v>
      </c>
      <c r="D17" s="16">
        <v>20</v>
      </c>
      <c r="E17" s="16" t="s">
        <v>18</v>
      </c>
      <c r="F17" s="16" t="s">
        <v>46</v>
      </c>
    </row>
    <row r="18" spans="1:10" x14ac:dyDescent="0.2">
      <c r="A18" s="16" t="s">
        <v>78</v>
      </c>
      <c r="B18" s="16">
        <v>240</v>
      </c>
      <c r="C18" s="16" t="s">
        <v>47</v>
      </c>
      <c r="D18" s="16">
        <v>20</v>
      </c>
      <c r="E18" s="16" t="s">
        <v>18</v>
      </c>
      <c r="F18" s="16" t="s">
        <v>48</v>
      </c>
    </row>
    <row r="19" spans="1:10" x14ac:dyDescent="0.2">
      <c r="A19" s="16" t="s">
        <v>95</v>
      </c>
      <c r="B19" s="16">
        <v>576</v>
      </c>
      <c r="C19" s="16" t="s">
        <v>49</v>
      </c>
      <c r="D19" s="16">
        <v>48</v>
      </c>
      <c r="E19" s="16" t="s">
        <v>18</v>
      </c>
      <c r="F19" s="16" t="s">
        <v>50</v>
      </c>
    </row>
    <row r="20" spans="1:10" x14ac:dyDescent="0.2">
      <c r="A20" s="16" t="s">
        <v>90</v>
      </c>
      <c r="B20" s="16">
        <v>480</v>
      </c>
      <c r="C20" s="16" t="s">
        <v>51</v>
      </c>
      <c r="D20" s="16">
        <v>40</v>
      </c>
      <c r="E20" s="16" t="s">
        <v>18</v>
      </c>
      <c r="F20" s="16" t="s">
        <v>52</v>
      </c>
    </row>
    <row r="21" spans="1:10" x14ac:dyDescent="0.2">
      <c r="A21" s="16" t="s">
        <v>92</v>
      </c>
      <c r="B21" s="16">
        <v>480</v>
      </c>
      <c r="C21" s="16" t="s">
        <v>53</v>
      </c>
      <c r="D21" s="16">
        <v>40</v>
      </c>
      <c r="E21" s="16" t="s">
        <v>18</v>
      </c>
      <c r="F21" s="16" t="s">
        <v>54</v>
      </c>
    </row>
    <row r="22" spans="1:10" x14ac:dyDescent="0.2">
      <c r="A22" s="16" t="s">
        <v>91</v>
      </c>
      <c r="B22" s="16">
        <v>576</v>
      </c>
      <c r="C22" s="16" t="s">
        <v>55</v>
      </c>
      <c r="D22" s="16">
        <v>48</v>
      </c>
      <c r="E22" s="16" t="s">
        <v>18</v>
      </c>
      <c r="F22" s="16" t="s">
        <v>56</v>
      </c>
      <c r="G22" s="20"/>
      <c r="H22" s="20"/>
      <c r="I22" s="20"/>
      <c r="J22" s="20"/>
    </row>
    <row r="23" spans="1:10" x14ac:dyDescent="0.2">
      <c r="A23" s="16" t="s">
        <v>93</v>
      </c>
      <c r="B23" s="16">
        <v>240</v>
      </c>
      <c r="C23" s="16" t="s">
        <v>57</v>
      </c>
      <c r="D23" s="16">
        <v>40</v>
      </c>
      <c r="G23" s="20"/>
      <c r="H23" s="20"/>
      <c r="I23" s="20"/>
      <c r="J23" s="20"/>
    </row>
    <row r="24" spans="1:10" x14ac:dyDescent="0.2">
      <c r="A24" s="16" t="s">
        <v>94</v>
      </c>
      <c r="B24" s="16">
        <v>480</v>
      </c>
      <c r="C24" s="16" t="s">
        <v>58</v>
      </c>
      <c r="D24" s="16">
        <v>20</v>
      </c>
      <c r="E24" s="16" t="s">
        <v>18</v>
      </c>
      <c r="F24" s="16" t="s">
        <v>96</v>
      </c>
    </row>
    <row r="25" spans="1:10" x14ac:dyDescent="0.2">
      <c r="A25" s="16" t="s">
        <v>103</v>
      </c>
      <c r="B25" s="16">
        <v>240</v>
      </c>
      <c r="C25" s="16" t="s">
        <v>97</v>
      </c>
      <c r="D25" s="16">
        <v>40</v>
      </c>
      <c r="E25" s="16" t="s">
        <v>18</v>
      </c>
      <c r="F25" s="16" t="s">
        <v>59</v>
      </c>
    </row>
    <row r="26" spans="1:10" x14ac:dyDescent="0.2">
      <c r="A26" s="16" t="s">
        <v>104</v>
      </c>
      <c r="B26" s="16">
        <v>240</v>
      </c>
      <c r="C26" s="16" t="s">
        <v>99</v>
      </c>
      <c r="D26" s="16">
        <v>20</v>
      </c>
      <c r="E26" s="16" t="s">
        <v>18</v>
      </c>
      <c r="F26" s="16" t="s">
        <v>98</v>
      </c>
    </row>
    <row r="27" spans="1:10" x14ac:dyDescent="0.2">
      <c r="A27" s="16" t="s">
        <v>105</v>
      </c>
      <c r="B27" s="16">
        <v>240</v>
      </c>
      <c r="C27" s="16" t="s">
        <v>101</v>
      </c>
      <c r="D27" s="16">
        <v>20</v>
      </c>
      <c r="E27" s="16" t="s">
        <v>18</v>
      </c>
      <c r="F27" s="16" t="s">
        <v>100</v>
      </c>
    </row>
    <row r="28" spans="1:10" x14ac:dyDescent="0.2">
      <c r="A28" s="16" t="s">
        <v>107</v>
      </c>
      <c r="B28" s="16">
        <v>240</v>
      </c>
      <c r="C28" s="16" t="s">
        <v>106</v>
      </c>
      <c r="D28" s="16">
        <v>20</v>
      </c>
      <c r="E28" s="16" t="s">
        <v>18</v>
      </c>
      <c r="F28" s="16" t="s">
        <v>102</v>
      </c>
    </row>
    <row r="29" spans="1:10" x14ac:dyDescent="0.2">
      <c r="A29" s="16" t="s">
        <v>133</v>
      </c>
      <c r="B29" s="16">
        <v>480</v>
      </c>
      <c r="C29" s="16" t="s">
        <v>140</v>
      </c>
      <c r="D29" s="16">
        <v>20</v>
      </c>
      <c r="E29" s="16" t="s">
        <v>18</v>
      </c>
      <c r="F29" s="16" t="s">
        <v>108</v>
      </c>
    </row>
    <row r="30" spans="1:10" x14ac:dyDescent="0.2">
      <c r="A30" s="16" t="s">
        <v>139</v>
      </c>
      <c r="B30" s="16">
        <v>720</v>
      </c>
      <c r="C30" s="16" t="s">
        <v>141</v>
      </c>
      <c r="D30" s="16">
        <v>20</v>
      </c>
      <c r="E30" s="16" t="s">
        <v>18</v>
      </c>
      <c r="F30" s="16" t="s">
        <v>115</v>
      </c>
    </row>
    <row r="31" spans="1:10" x14ac:dyDescent="0.2">
      <c r="A31" s="16" t="s">
        <v>132</v>
      </c>
      <c r="B31" s="16">
        <v>720</v>
      </c>
      <c r="C31" s="16" t="s">
        <v>142</v>
      </c>
      <c r="D31" s="16">
        <v>40</v>
      </c>
      <c r="E31" s="16" t="s">
        <v>18</v>
      </c>
      <c r="F31" s="16" t="s">
        <v>117</v>
      </c>
    </row>
    <row r="32" spans="1:10" x14ac:dyDescent="0.2">
      <c r="A32" s="16" t="s">
        <v>135</v>
      </c>
      <c r="B32" s="16">
        <v>240</v>
      </c>
      <c r="C32" s="16" t="s">
        <v>143</v>
      </c>
      <c r="D32" s="16">
        <v>40</v>
      </c>
      <c r="E32" s="16" t="s">
        <v>18</v>
      </c>
      <c r="F32" s="16" t="s">
        <v>118</v>
      </c>
    </row>
    <row r="33" spans="1:3" x14ac:dyDescent="0.2">
      <c r="A33" s="16" t="s">
        <v>138</v>
      </c>
      <c r="B33" s="16">
        <v>480</v>
      </c>
      <c r="C33" s="16" t="s">
        <v>144</v>
      </c>
    </row>
    <row r="34" spans="1:3" x14ac:dyDescent="0.2">
      <c r="A34" s="16" t="s">
        <v>137</v>
      </c>
      <c r="B34" s="16">
        <v>480</v>
      </c>
      <c r="C34" s="16" t="s">
        <v>145</v>
      </c>
    </row>
    <row r="35" spans="1:3" x14ac:dyDescent="0.2">
      <c r="A35" s="16" t="s">
        <v>136</v>
      </c>
      <c r="B35" s="16">
        <v>480</v>
      </c>
      <c r="C35" s="16" t="s">
        <v>146</v>
      </c>
    </row>
    <row r="36" spans="1:3" x14ac:dyDescent="0.2">
      <c r="A36" s="16" t="s">
        <v>134</v>
      </c>
      <c r="B36" s="16">
        <v>480</v>
      </c>
      <c r="C36" s="16" t="s">
        <v>147</v>
      </c>
    </row>
    <row r="37" spans="1:3" x14ac:dyDescent="0.2">
      <c r="A37" s="16" t="s">
        <v>109</v>
      </c>
      <c r="B37" s="16">
        <v>480</v>
      </c>
      <c r="C37" s="16" t="s">
        <v>110</v>
      </c>
    </row>
    <row r="38" spans="1:3" x14ac:dyDescent="0.2">
      <c r="A38" s="16" t="s">
        <v>112</v>
      </c>
      <c r="B38" s="16">
        <v>240</v>
      </c>
      <c r="C38" s="16" t="s">
        <v>111</v>
      </c>
    </row>
    <row r="39" spans="1:3" x14ac:dyDescent="0.2">
      <c r="A39" s="16" t="s">
        <v>113</v>
      </c>
      <c r="B39" s="16">
        <v>480</v>
      </c>
      <c r="C39" s="16" t="s">
        <v>116</v>
      </c>
    </row>
    <row r="40" spans="1:3" x14ac:dyDescent="0.2">
      <c r="A40" s="16" t="s">
        <v>114</v>
      </c>
      <c r="B40" s="16">
        <v>480</v>
      </c>
      <c r="C40" s="16" t="s">
        <v>148</v>
      </c>
    </row>
  </sheetData>
  <phoneticPr fontId="6" type="noConversion"/>
  <conditionalFormatting sqref="C41:C1048576 C1">
    <cfRule type="duplicateValues" dxfId="4" priority="7"/>
  </conditionalFormatting>
  <conditionalFormatting sqref="C30:C40 C2:C18 C22:C28">
    <cfRule type="duplicateValues" dxfId="3" priority="3"/>
  </conditionalFormatting>
  <conditionalFormatting sqref="C19">
    <cfRule type="duplicateValues" dxfId="2" priority="2"/>
  </conditionalFormatting>
  <conditionalFormatting sqref="C20:C21">
    <cfRule type="duplicateValues" dxfId="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01EB6-8F76-49EF-902F-1CFDB670D1ED}">
  <sheetPr codeName="Sheet2"/>
  <dimension ref="A1:F3"/>
  <sheetViews>
    <sheetView workbookViewId="0"/>
  </sheetViews>
  <sheetFormatPr defaultRowHeight="15" x14ac:dyDescent="0.25"/>
  <cols>
    <col min="1" max="1" width="23.7109375" customWidth="1"/>
    <col min="2" max="2" width="30.5703125" customWidth="1"/>
    <col min="3" max="3" width="7.5703125" customWidth="1"/>
    <col min="4" max="4" width="33.28515625" customWidth="1"/>
    <col min="5" max="5" width="27.42578125" customWidth="1"/>
    <col min="6" max="6" width="22.42578125" customWidth="1"/>
  </cols>
  <sheetData>
    <row r="1" spans="1:6" ht="21" x14ac:dyDescent="0.35">
      <c r="A1" s="22" t="s">
        <v>119</v>
      </c>
      <c r="B1" s="22" t="s">
        <v>120</v>
      </c>
      <c r="C1" s="22" t="s">
        <v>121</v>
      </c>
      <c r="D1" s="22" t="s">
        <v>122</v>
      </c>
      <c r="E1" s="22" t="s">
        <v>123</v>
      </c>
      <c r="F1" s="22" t="s">
        <v>124</v>
      </c>
    </row>
    <row r="2" spans="1:6" x14ac:dyDescent="0.25">
      <c r="A2" t="s">
        <v>109</v>
      </c>
      <c r="B2" t="s">
        <v>110</v>
      </c>
      <c r="C2">
        <v>2</v>
      </c>
      <c r="D2">
        <v>480</v>
      </c>
      <c r="E2">
        <v>40</v>
      </c>
      <c r="F2">
        <v>80</v>
      </c>
    </row>
    <row r="3" spans="1:6" x14ac:dyDescent="0.25">
      <c r="A3" t="s">
        <v>90</v>
      </c>
      <c r="B3" t="s">
        <v>51</v>
      </c>
      <c r="C3">
        <v>3</v>
      </c>
      <c r="D3">
        <v>480</v>
      </c>
      <c r="E3">
        <v>40</v>
      </c>
      <c r="F3">
        <v>120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59B2-94E4-459F-B110-2613E13B9975}">
  <sheetPr codeName="Sheet3"/>
  <dimension ref="A1:I9"/>
  <sheetViews>
    <sheetView tabSelected="1" workbookViewId="0"/>
  </sheetViews>
  <sheetFormatPr defaultRowHeight="15" x14ac:dyDescent="0.25"/>
  <cols>
    <col min="1" max="1" width="18.140625" bestFit="1" customWidth="1"/>
    <col min="2" max="2" width="15" bestFit="1" customWidth="1"/>
    <col min="3" max="3" width="17.85546875" bestFit="1" customWidth="1"/>
    <col min="4" max="7" width="13.7109375" bestFit="1" customWidth="1"/>
    <col min="8" max="8" width="17.7109375" bestFit="1" customWidth="1"/>
    <col min="9" max="9" width="13.85546875" bestFit="1" customWidth="1"/>
  </cols>
  <sheetData>
    <row r="1" spans="1:9" x14ac:dyDescent="0.25">
      <c r="A1" t="s">
        <v>119</v>
      </c>
      <c r="B1" t="s">
        <v>125</v>
      </c>
      <c r="C1" t="s">
        <v>126</v>
      </c>
      <c r="D1" t="s">
        <v>127</v>
      </c>
      <c r="E1" t="s">
        <v>128</v>
      </c>
      <c r="F1" t="s">
        <v>129</v>
      </c>
      <c r="G1" t="s">
        <v>151</v>
      </c>
      <c r="H1" t="s">
        <v>130</v>
      </c>
      <c r="I1" t="s">
        <v>131</v>
      </c>
    </row>
    <row r="2" spans="1:9" x14ac:dyDescent="0.25">
      <c r="A2" t="s">
        <v>109</v>
      </c>
      <c r="B2" t="s">
        <v>110</v>
      </c>
      <c r="C2">
        <v>480</v>
      </c>
      <c r="D2">
        <v>191.125</v>
      </c>
      <c r="E2">
        <v>136.625</v>
      </c>
      <c r="F2">
        <v>136.625</v>
      </c>
      <c r="H2">
        <v>464.375</v>
      </c>
      <c r="I2">
        <v>15.625</v>
      </c>
    </row>
    <row r="3" spans="1:9" x14ac:dyDescent="0.25">
      <c r="A3" t="s">
        <v>109</v>
      </c>
      <c r="B3" t="s">
        <v>110</v>
      </c>
      <c r="C3">
        <v>480</v>
      </c>
      <c r="D3">
        <v>128.75</v>
      </c>
      <c r="E3">
        <v>128.75</v>
      </c>
      <c r="F3">
        <v>191.125</v>
      </c>
      <c r="H3">
        <v>448.625</v>
      </c>
      <c r="I3">
        <v>31.375</v>
      </c>
    </row>
    <row r="4" spans="1:9" x14ac:dyDescent="0.25">
      <c r="A4" t="s">
        <v>90</v>
      </c>
      <c r="B4" t="s">
        <v>51</v>
      </c>
      <c r="C4">
        <v>480</v>
      </c>
      <c r="D4">
        <v>260</v>
      </c>
      <c r="E4">
        <v>92</v>
      </c>
      <c r="F4">
        <v>74</v>
      </c>
      <c r="G4">
        <v>54</v>
      </c>
      <c r="H4">
        <v>480</v>
      </c>
      <c r="I4">
        <v>0</v>
      </c>
    </row>
    <row r="5" spans="1:9" x14ac:dyDescent="0.25">
      <c r="A5" t="s">
        <v>90</v>
      </c>
      <c r="B5" t="s">
        <v>51</v>
      </c>
      <c r="C5">
        <v>480</v>
      </c>
      <c r="D5">
        <v>260</v>
      </c>
      <c r="E5">
        <v>180</v>
      </c>
      <c r="F5">
        <v>8</v>
      </c>
      <c r="G5">
        <v>8</v>
      </c>
      <c r="H5">
        <v>456</v>
      </c>
      <c r="I5">
        <v>24</v>
      </c>
    </row>
    <row r="6" spans="1:9" x14ac:dyDescent="0.25">
      <c r="A6" t="s">
        <v>90</v>
      </c>
      <c r="B6" t="s">
        <v>51</v>
      </c>
      <c r="C6">
        <v>480</v>
      </c>
      <c r="D6">
        <v>74</v>
      </c>
      <c r="E6">
        <v>160</v>
      </c>
      <c r="F6">
        <v>240</v>
      </c>
      <c r="H6">
        <v>474</v>
      </c>
      <c r="I6">
        <v>6</v>
      </c>
    </row>
    <row r="8" spans="1:9" x14ac:dyDescent="0.25">
      <c r="C8">
        <v>2400</v>
      </c>
      <c r="H8">
        <v>2323</v>
      </c>
      <c r="I8">
        <v>77</v>
      </c>
    </row>
    <row r="9" spans="1:9" x14ac:dyDescent="0.25">
      <c r="I9" s="23">
        <v>3.2099999999999997E-2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User-43</cp:lastModifiedBy>
  <cp:lastPrinted>2021-01-19T06:12:27Z</cp:lastPrinted>
  <dcterms:created xsi:type="dcterms:W3CDTF">2015-06-05T18:17:20Z</dcterms:created>
  <dcterms:modified xsi:type="dcterms:W3CDTF">2021-07-21T15:54:37Z</dcterms:modified>
</cp:coreProperties>
</file>