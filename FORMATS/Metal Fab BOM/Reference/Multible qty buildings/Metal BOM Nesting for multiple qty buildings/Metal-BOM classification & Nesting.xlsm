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-6\Dropbox\FBD\IMP E-Mails and Information\WIP\Metal BOM Nesting\"/>
    </mc:Choice>
  </mc:AlternateContent>
  <xr:revisionPtr revIDLastSave="0" documentId="13_ncr:1_{A516D130-0D34-444D-B1AD-E73B06928DD1}" xr6:coauthVersionLast="47" xr6:coauthVersionMax="47" xr10:uidLastSave="{00000000-0000-0000-0000-000000000000}"/>
  <bookViews>
    <workbookView xWindow="-108" yWindow="-108" windowWidth="23256" windowHeight="12720" activeTab="3" xr2:uid="{00000000-000D-0000-FFFF-FFFF00000000}"/>
  </bookViews>
  <sheets>
    <sheet name="Sheet1" sheetId="1" r:id="rId1"/>
    <sheet name="Sheet2" sheetId="15" r:id="rId2"/>
    <sheet name="NestingSummary" sheetId="80" r:id="rId3"/>
    <sheet name="DetailedNesting" sheetId="81" r:id="rId4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15" l="1"/>
  <c r="B24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6" i="15"/>
  <c r="B27" i="15"/>
  <c r="B28" i="15"/>
  <c r="B2" i="15"/>
</calcChain>
</file>

<file path=xl/sharedStrings.xml><?xml version="1.0" encoding="utf-8"?>
<sst xmlns="http://schemas.openxmlformats.org/spreadsheetml/2006/main" count="253" uniqueCount="133">
  <si>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</si>
  <si>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</si>
  <si>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</si>
  <si>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</si>
  <si>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</si>
  <si>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</si>
  <si>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</si>
  <si>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</si>
  <si>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</si>
  <si>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</si>
  <si>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</si>
  <si>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</si>
  <si>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</si>
  <si>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</si>
  <si>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A</t>
  </si>
  <si>
    <t>804-15023</t>
  </si>
  <si>
    <t>B</t>
  </si>
  <si>
    <t>804-03028</t>
  </si>
  <si>
    <t>C</t>
  </si>
  <si>
    <t>Keep only items needed for nesting</t>
  </si>
  <si>
    <t>D</t>
  </si>
  <si>
    <t>E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</si>
  <si>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</si>
  <si>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</si>
  <si>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</si>
  <si>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</si>
  <si>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</si>
  <si>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</si>
  <si>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</si>
  <si>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</si>
  <si>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</si>
  <si>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</si>
  <si>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</si>
  <si>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</si>
  <si>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804-16017</t>
  </si>
  <si>
    <t>Channel, C3x4.1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</si>
  <si>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</si>
  <si>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</si>
  <si>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</si>
  <si>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</si>
  <si>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</si>
  <si>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</si>
  <si>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</si>
  <si>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</si>
  <si>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</si>
  <si>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</si>
  <si>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</si>
  <si>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</si>
  <si>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</si>
  <si>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</si>
  <si>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</si>
  <si>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</si>
  <si>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</si>
  <si>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</si>
  <si>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</si>
  <si>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</si>
  <si>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</si>
  <si>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</si>
  <si>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</si>
  <si>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</si>
  <si>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</si>
  <si>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</si>
  <si>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</si>
  <si>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</si>
  <si>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</si>
  <si>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</si>
  <si>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Raw Ang. 2 X 2 X 3/16</t>
  </si>
  <si>
    <t>804-14012</t>
  </si>
  <si>
    <t>Raw Ang. 3" X 2" X 3/16"</t>
  </si>
  <si>
    <t>804-14010</t>
  </si>
  <si>
    <t>Raw Angle, 3" x 3" x 1/4"</t>
  </si>
  <si>
    <t>W4x13</t>
  </si>
  <si>
    <t>W18x50</t>
  </si>
  <si>
    <t>C3x4.1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</si>
  <si>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</si>
  <si>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</si>
  <si>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</si>
  <si>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</si>
  <si>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</si>
  <si>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</si>
  <si>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</si>
  <si>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</si>
  <si>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</si>
  <si>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</si>
  <si>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</si>
  <si>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</si>
  <si>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</si>
  <si>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</si>
  <si>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</si>
  <si>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Instructions:</t>
  </si>
  <si>
    <t>Right description on column E</t>
  </si>
  <si>
    <t>Required raw material present in sheet2</t>
  </si>
  <si>
    <t>FLAT BAR-3/8"X4"</t>
  </si>
  <si>
    <t>FLAT BAR-1/4"X1 1/2"</t>
  </si>
  <si>
    <t>MC6x18</t>
  </si>
  <si>
    <t>P01460 FLOOR</t>
  </si>
  <si>
    <t>W12x30</t>
  </si>
  <si>
    <t>W10x17</t>
  </si>
  <si>
    <t>-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</si>
  <si>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</si>
  <si>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</si>
  <si>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</si>
  <si>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</si>
  <si>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</si>
  <si>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</si>
  <si>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Item Description</t>
  </si>
  <si>
    <t>Raw Material Number</t>
  </si>
  <si>
    <t>Purchase Length</t>
  </si>
  <si>
    <t>Raw Material</t>
  </si>
  <si>
    <t>Cut Length1</t>
  </si>
  <si>
    <t>Cut Length2</t>
  </si>
  <si>
    <t>Cut Length3</t>
  </si>
  <si>
    <t>Cut Length4</t>
  </si>
  <si>
    <t>Cut Length5</t>
  </si>
  <si>
    <t>Any item length should not exceed (purchase length - 2 inches)</t>
  </si>
  <si>
    <t>Qty</t>
  </si>
  <si>
    <t>Purchase Length(inches)</t>
  </si>
  <si>
    <t>Total Length(ft)</t>
  </si>
  <si>
    <t>Purchase Length(ft)</t>
  </si>
  <si>
    <t>HSS3x3x3/8</t>
  </si>
  <si>
    <t>HSS4x4x1/8</t>
  </si>
  <si>
    <t>HSS6x3x3/8</t>
  </si>
  <si>
    <t>L2x2x3/16</t>
  </si>
  <si>
    <t>L3x2x3/16</t>
  </si>
  <si>
    <t>L3x3x1/4</t>
  </si>
  <si>
    <t>HSS3x3x3/16</t>
  </si>
  <si>
    <t>Total Cut Length</t>
  </si>
  <si>
    <t>Total Waste</t>
  </si>
  <si>
    <t>HSS3x2x1/4</t>
  </si>
  <si>
    <t>HSS4x2x1/8</t>
  </si>
  <si>
    <t>804-00040</t>
  </si>
  <si>
    <t>804-05064</t>
  </si>
  <si>
    <t xml:space="preserve">Tubing, 3" x 3" x 3/8"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</si>
</sst>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"/>
  </numFmts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5"/>
      <color theme="3"/>
      <name val="Calibri"/>
      <family val="2"/>
      <scheme val="minor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2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2" fillId="0" borderId="0" xfId="0" applyNumberFormat="1" applyFont="1"/>
    <xf numFmtId="0" fontId="4" fillId="0" borderId="3" xfId="1"/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0" fontId="7" fillId="0" borderId="0" xfId="0" applyFont="1"/>
    <xf numFmtId="0" fontId="0" fillId="0" borderId="0" xfId="0" applyFill="1"/>
    <xf numFmtId="10" fontId="0" fillId="0" borderId="0" xfId="0" applyNumberFormat="1"/>
  </cellXfs>
  <cellStyles count="2">
    <cellStyle name="Heading 1" xfId="1" builtinId="16"/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1" totalsRowShown="0">
  <autoFilter ref="A4:K21" xr:uid="{CDF9619B-F0E7-490D-BEFA-727196256470}"/>
  <sortState xmlns:xlrd2="http://schemas.microsoft.com/office/spreadsheetml/2017/richdata2" ref="A5:J21">
    <sortCondition ref="E5:E21"/>
    <sortCondition descending="1" ref="G5:G21"/>
  </sortState>
  <tableColumns count="11">
    <tableColumn id="1" xr3:uid="{4774FE6E-D79F-4E40-98D1-FE10D40ABC07}" name="SL. NO." dataDxfId="9"/>
    <tableColumn id="2" xr3:uid="{9884691F-0A0D-47CB-8EF0-9AE590C29CC9}" name="PART#" dataDxfId="8"/>
    <tableColumn id="3" xr3:uid="{3868E0BB-A494-4109-A7E8-244E1F15175E}" name="LEGEND" dataDxfId="7"/>
    <tableColumn id="4" xr3:uid="{A4F222A3-F838-4FED-8402-8D5E4131929A}" name="ITEM #" dataDxfId="6"/>
    <tableColumn id="5" xr3:uid="{6C82C4FD-0222-4263-8F8F-1DE29AB0E7E9}" name="DESCRIPTION" dataDxfId="5"/>
    <tableColumn id="6" xr3:uid="{74DDC800-B5E7-459A-ABF8-ABAF51A457AC}" name="QTY." dataDxfId="4"/>
    <tableColumn id="7" xr3:uid="{119738FE-8C63-4234-ACE4-FA9F6A046F9C}" name="LENGTH (in.)" dataDxfId="3"/>
    <tableColumn id="8" xr3:uid="{E4370ABC-D39E-4392-8F0E-6B9C56981840}" name="RAW MATERIAL _x000a_NUMBER" dataDxfId="2"/>
    <tableColumn id="9" xr3:uid="{1A2B8888-81A1-4DB4-A951-BBABDB4647C7}" name="SUPPLIER"/>
    <tableColumn id="10" xr3:uid="{709F9ABD-F4C3-4F5E-9F71-D158E141171F}" name="SUB-ASSEMBLY"/>
    <tableColumn id="11" xr3:uid="{047AD226-E9D9-4FBE-A92A-B42E92B0B3A3}" name="REMARKS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A86BBC-2758-456C-90D9-0ABE94EF0613}" name="Table1" displayName="Table1_1" ref="A1:F7" totalsRowShown="0" headerRowDxfId="0">
  <autoFilter ref="A1:F7" xr:uid="{EBD32EE2-803F-4DF3-A84A-4D464B051C9A}"/>
  <tableColumns count="6">
    <tableColumn id="1" xr3:uid="{5ECBCD2E-2504-4D44-924D-3A303F8A03FE}" name="Item Description"/>
    <tableColumn id="2" xr3:uid="{CC87D3F2-2C74-4653-A8F2-1F970EF6722D}" name="Raw Material Number"/>
    <tableColumn id="3" xr3:uid="{0CC75A10-0158-42C3-864C-4AEA3DD4F4E8}" name="Qty"/>
    <tableColumn id="4" xr3:uid="{CCA2BFB7-0F2D-4EA0-A840-2379C91038AB}" name="Purchase Length(inches)"/>
    <tableColumn id="5" xr3:uid="{EFF24304-DC17-4219-BE0B-BFEDB203B1D2}" name="Purchase Length(ft)"/>
    <tableColumn id="6" xr3:uid="{D9B2687A-6012-46B9-9DFE-4F83594A56BB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2D16CC-4E50-45A3-954F-38795FAF26A7}" name="Table2" displayName="Table2" ref="A1:J19" totalsRowShown="0">
  <autoFilter ref="A1:J19" xr:uid="{F6305DDE-50EB-421E-8A64-1C605A3D1D53}"/>
  <tableColumns count="10">
    <tableColumn id="1" xr3:uid="{A23D2E8F-A2F8-4FF8-BF5B-F30377273826}" name="Item Description"/>
    <tableColumn id="2" xr3:uid="{448A3F6A-0E42-40B3-8F06-7D86F03BF6F4}" name="Raw Material"/>
    <tableColumn id="3" xr3:uid="{D99DF90C-442B-4756-9F24-B003FE6CD2E6}" name="Purchase Length"/>
    <tableColumn id="4" xr3:uid="{6CB1C4A2-DAA2-48BF-B113-8FC9AE13BEE3}" name="Cut Length1"/>
    <tableColumn id="5" xr3:uid="{ACA0F2AA-12A7-4F33-AD19-E6ED6F4D911D}" name="Cut Length2"/>
    <tableColumn id="6" xr3:uid="{2ABB5334-C2F1-4F78-8263-7A59ABE17663}" name="Cut Length3"/>
    <tableColumn id="7" xr3:uid="{4494BB3A-C978-4D98-9BB4-40BDF16429FA}" name="Cut Length4"/>
    <tableColumn id="8" xr3:uid="{91219C5A-935D-40AE-8093-3CC76B510359}" name="Cut Length5"/>
    <tableColumn id="9" xr3:uid="{054AAFB1-C881-46AE-90F7-C153DBBA5DBD}" name="Total Cut Length"/>
    <tableColumn id="10" xr3:uid="{0057513B-C37A-40ED-A2BF-7B253C88772A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1"/>
  <sheetViews>
    <sheetView zoomScale="70" zoomScaleNormal="70" workbookViewId="0">
      <selection activeCell="J16" sqref="J16"/>
    </sheetView>
  </sheetViews>
  <sheetFormatPr defaultRowHeight="14.4" x14ac:dyDescent="0.3"/>
  <cols>
    <col min="1" max="1" width="15.5546875" style="7" customWidth="1"/>
    <col min="2" max="2" width="26.5546875" style="8" customWidth="1"/>
    <col min="3" max="3" width="12.88671875" style="7" customWidth="1"/>
    <col min="4" max="4" width="7" style="7" bestFit="1" customWidth="1"/>
    <col min="5" max="5" width="26" style="7" bestFit="1" customWidth="1"/>
    <col min="6" max="6" width="7.88671875" style="7" bestFit="1" customWidth="1"/>
    <col min="7" max="7" width="14.5546875" style="7" customWidth="1"/>
    <col min="8" max="8" width="10.5546875" style="7" customWidth="1"/>
    <col min="9" max="9" width="15.5546875" style="7" bestFit="1" customWidth="1"/>
    <col min="10" max="10" width="15.6640625" style="7" bestFit="1" customWidth="1"/>
    <col min="11" max="11" width="22" style="7" customWidth="1"/>
    <col min="12" max="12" width="3.88671875" style="7" customWidth="1"/>
    <col min="13" max="13" width="58.109375" bestFit="1" customWidth="1"/>
    <col min="14" max="16" width="11.5546875" customWidth="1"/>
    <col min="17" max="1023" width="11.5546875" style="7" customWidth="1"/>
  </cols>
  <sheetData>
    <row r="1" spans="1:1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3"/>
      <c r="H1" s="3"/>
      <c r="I1" s="3"/>
      <c r="J1" s="3"/>
      <c r="K1" s="3"/>
    </row>
    <row r="2" spans="1:1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3"/>
      <c r="H2" s="3"/>
      <c r="I2" s="3"/>
      <c r="J2" s="3"/>
      <c r="K2" s="3"/>
    </row>
    <row r="3" spans="1:13" x14ac:dyDescent="0.3">
      <c r="E3" s="9"/>
    </row>
    <row r="4" spans="1:13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0" t="s">
        <v>86</v>
      </c>
      <c r="J4" s="10" t="s">
        <v>87</v>
      </c>
      <c r="K4" s="10" t="s">
        <v>88</v>
      </c>
    </row>
    <row r="5" spans="1:13" x14ac:dyDescent="0.3">
      <c r="A5" s="12">
        <v>1</v>
      </c>
      <c r="B5" s="16" t="s">
        <v>95</v>
      </c>
      <c r="C5" s="17" t="s">
        <v>14</v>
      </c>
      <c r="D5" s="16">
        <v>1</v>
      </c>
      <c r="E5" s="16" t="s">
        <v>76</v>
      </c>
      <c r="F5" s="17">
        <v>1</v>
      </c>
      <c r="G5" s="18">
        <v>588</v>
      </c>
      <c r="H5" s="12"/>
      <c r="I5" s="12"/>
      <c r="J5" s="12"/>
      <c r="K5" s="12"/>
    </row>
    <row r="6" spans="1:13" ht="20.399999999999999" thickBot="1" x14ac:dyDescent="0.45">
      <c r="A6" s="12">
        <v>2</v>
      </c>
      <c r="B6" s="16" t="s">
        <v>95</v>
      </c>
      <c r="C6" s="17" t="s">
        <v>16</v>
      </c>
      <c r="D6" s="16">
        <v>2</v>
      </c>
      <c r="E6" s="16" t="s">
        <v>72</v>
      </c>
      <c r="F6" s="17">
        <v>1</v>
      </c>
      <c r="G6" s="18">
        <v>139.5</v>
      </c>
      <c r="H6" s="12"/>
      <c r="I6" s="12"/>
      <c r="J6" s="12"/>
      <c r="K6" s="12"/>
      <c r="M6" s="15" t="s">
        <v>89</v>
      </c>
    </row>
    <row r="7" spans="1:13" ht="15" thickTop="1" x14ac:dyDescent="0.3">
      <c r="A7" s="12">
        <v>3</v>
      </c>
      <c r="B7" s="16" t="s">
        <v>95</v>
      </c>
      <c r="C7" s="17" t="s">
        <v>16</v>
      </c>
      <c r="D7" s="16">
        <v>3</v>
      </c>
      <c r="E7" s="16" t="s">
        <v>72</v>
      </c>
      <c r="F7" s="17">
        <v>1</v>
      </c>
      <c r="G7" s="18">
        <v>139.5</v>
      </c>
      <c r="H7" s="12"/>
      <c r="I7" s="12"/>
      <c r="J7" s="12"/>
      <c r="K7" s="12"/>
      <c r="M7" s="13" t="s">
        <v>90</v>
      </c>
    </row>
    <row r="8" spans="1:13" x14ac:dyDescent="0.3">
      <c r="A8" s="12">
        <v>4</v>
      </c>
      <c r="B8" s="16" t="s">
        <v>95</v>
      </c>
      <c r="C8" s="17" t="s">
        <v>18</v>
      </c>
      <c r="D8" s="16">
        <v>4</v>
      </c>
      <c r="E8" s="16" t="s">
        <v>96</v>
      </c>
      <c r="F8" s="17">
        <v>6</v>
      </c>
      <c r="G8" s="18">
        <v>139.5</v>
      </c>
      <c r="H8" s="12"/>
      <c r="I8" s="12"/>
      <c r="J8" s="12"/>
      <c r="K8" s="12"/>
      <c r="M8" s="13" t="s">
        <v>19</v>
      </c>
    </row>
    <row r="9" spans="1:13" x14ac:dyDescent="0.3">
      <c r="A9" s="12">
        <v>5</v>
      </c>
      <c r="B9" s="16" t="s">
        <v>95</v>
      </c>
      <c r="C9" s="17" t="s">
        <v>18</v>
      </c>
      <c r="D9" s="16">
        <v>5</v>
      </c>
      <c r="E9" s="16" t="s">
        <v>96</v>
      </c>
      <c r="F9" s="17">
        <v>1</v>
      </c>
      <c r="G9" s="18">
        <v>139.5</v>
      </c>
      <c r="H9" s="12"/>
      <c r="I9" s="12"/>
      <c r="J9" s="12"/>
      <c r="K9" s="12"/>
      <c r="M9" s="13" t="s">
        <v>91</v>
      </c>
    </row>
    <row r="10" spans="1:13" x14ac:dyDescent="0.3">
      <c r="A10" s="12">
        <v>6</v>
      </c>
      <c r="B10" s="16" t="s">
        <v>95</v>
      </c>
      <c r="C10" s="17" t="s">
        <v>20</v>
      </c>
      <c r="D10" s="16">
        <v>6</v>
      </c>
      <c r="E10" s="16" t="s">
        <v>97</v>
      </c>
      <c r="F10" s="17">
        <v>16</v>
      </c>
      <c r="G10" s="18">
        <v>139.5</v>
      </c>
      <c r="H10" s="12"/>
      <c r="I10" s="12"/>
      <c r="J10" s="12"/>
      <c r="K10" s="12"/>
      <c r="L10" s="13"/>
      <c r="M10" s="13" t="s">
        <v>102</v>
      </c>
    </row>
    <row r="11" spans="1:13" x14ac:dyDescent="0.3">
      <c r="A11" s="12">
        <v>7</v>
      </c>
      <c r="B11" s="16" t="s">
        <v>95</v>
      </c>
      <c r="C11" s="17" t="s">
        <v>20</v>
      </c>
      <c r="D11" s="16">
        <v>7</v>
      </c>
      <c r="E11" s="16" t="s">
        <v>97</v>
      </c>
      <c r="F11" s="17">
        <v>2</v>
      </c>
      <c r="G11" s="18">
        <v>139.5</v>
      </c>
      <c r="H11" s="12"/>
      <c r="I11" s="12"/>
      <c r="J11" s="12"/>
      <c r="K11" s="12"/>
      <c r="L11" s="13"/>
      <c r="M11" s="13" t="s">
        <v>103</v>
      </c>
    </row>
    <row r="12" spans="1:13" x14ac:dyDescent="0.3">
      <c r="A12" s="12">
        <v>8</v>
      </c>
      <c r="B12" s="16" t="s">
        <v>95</v>
      </c>
      <c r="C12" s="17" t="s">
        <v>20</v>
      </c>
      <c r="D12" s="16">
        <v>8</v>
      </c>
      <c r="E12" s="16" t="s">
        <v>97</v>
      </c>
      <c r="F12" s="17">
        <v>2</v>
      </c>
      <c r="G12" s="18">
        <v>598</v>
      </c>
      <c r="H12" s="12"/>
      <c r="I12" s="12"/>
      <c r="J12" s="12"/>
      <c r="K12" s="12"/>
      <c r="M12" s="13" t="s">
        <v>114</v>
      </c>
    </row>
    <row r="13" spans="1:13" x14ac:dyDescent="0.3">
      <c r="A13" s="12">
        <v>9</v>
      </c>
      <c r="B13" s="16" t="s">
        <v>95</v>
      </c>
      <c r="C13" s="17" t="s">
        <v>21</v>
      </c>
      <c r="D13" s="16">
        <v>9</v>
      </c>
      <c r="E13" t="s">
        <v>124</v>
      </c>
      <c r="F13" s="17">
        <v>8</v>
      </c>
      <c r="G13" s="18">
        <v>139.5</v>
      </c>
      <c r="H13" s="12"/>
      <c r="I13" s="12"/>
      <c r="J13" s="12"/>
      <c r="K13" s="12"/>
    </row>
    <row r="14" spans="1:13" x14ac:dyDescent="0.3">
      <c r="A14" s="12">
        <v>10</v>
      </c>
      <c r="B14" s="16" t="s">
        <v>95</v>
      </c>
      <c r="C14" s="17" t="s">
        <v>21</v>
      </c>
      <c r="D14" s="16">
        <v>10</v>
      </c>
      <c r="E14" t="s">
        <v>124</v>
      </c>
      <c r="F14" s="17">
        <v>2</v>
      </c>
      <c r="G14" s="18">
        <v>139.5</v>
      </c>
      <c r="H14" s="12"/>
      <c r="I14" s="12"/>
      <c r="J14" s="12"/>
      <c r="K14" s="12"/>
    </row>
    <row r="15" spans="1:13" x14ac:dyDescent="0.3">
      <c r="A15" s="12">
        <v>11</v>
      </c>
      <c r="B15" s="16" t="s">
        <v>95</v>
      </c>
      <c r="C15" s="17" t="s">
        <v>21</v>
      </c>
      <c r="D15" s="16">
        <v>11</v>
      </c>
      <c r="E15" t="s">
        <v>124</v>
      </c>
      <c r="F15" s="17">
        <v>2</v>
      </c>
      <c r="G15" s="18">
        <v>139.5</v>
      </c>
      <c r="H15" s="12"/>
      <c r="I15" s="12"/>
      <c r="J15" s="12"/>
      <c r="K15" s="12"/>
    </row>
    <row r="16" spans="1:13" x14ac:dyDescent="0.3">
      <c r="A16" s="12">
        <v>12</v>
      </c>
      <c r="B16" s="16">
        <v>1206586</v>
      </c>
      <c r="C16" s="17" t="s">
        <v>98</v>
      </c>
      <c r="D16" s="16" t="s">
        <v>98</v>
      </c>
      <c r="E16" t="s">
        <v>121</v>
      </c>
      <c r="F16" s="17">
        <v>2</v>
      </c>
      <c r="G16" s="18">
        <v>139.5</v>
      </c>
      <c r="H16" s="12"/>
      <c r="I16" s="12"/>
      <c r="J16" s="12"/>
      <c r="K16" s="12"/>
      <c r="L16" s="14"/>
    </row>
    <row r="17" spans="1:11" x14ac:dyDescent="0.3">
      <c r="A17" s="12">
        <v>13</v>
      </c>
      <c r="B17" s="16">
        <v>1206587</v>
      </c>
      <c r="C17" s="17" t="s">
        <v>98</v>
      </c>
      <c r="D17" s="17" t="s">
        <v>98</v>
      </c>
      <c r="E17" t="s">
        <v>121</v>
      </c>
      <c r="F17" s="17">
        <v>2</v>
      </c>
      <c r="G17" s="18">
        <v>139.5</v>
      </c>
      <c r="H17" s="12"/>
      <c r="I17" s="12"/>
      <c r="J17" s="12"/>
      <c r="K17" s="12"/>
    </row>
    <row r="18" spans="1:11" x14ac:dyDescent="0.3">
      <c r="A18" s="12">
        <v>14</v>
      </c>
      <c r="B18" s="16">
        <v>1206588</v>
      </c>
      <c r="C18" s="17" t="s">
        <v>98</v>
      </c>
      <c r="D18" s="17" t="s">
        <v>98</v>
      </c>
      <c r="E18" t="s">
        <v>121</v>
      </c>
      <c r="F18" s="17">
        <v>2</v>
      </c>
      <c r="G18" s="18">
        <v>139.5</v>
      </c>
      <c r="H18" s="12"/>
      <c r="I18" s="12"/>
      <c r="J18" s="12"/>
      <c r="K18" s="12"/>
    </row>
    <row r="19" spans="1:11" x14ac:dyDescent="0.3">
      <c r="A19" s="12">
        <v>15</v>
      </c>
      <c r="B19" s="16">
        <v>1206589</v>
      </c>
      <c r="C19" s="17" t="s">
        <v>98</v>
      </c>
      <c r="D19" s="17" t="s">
        <v>98</v>
      </c>
      <c r="E19" t="s">
        <v>121</v>
      </c>
      <c r="F19" s="17">
        <v>1</v>
      </c>
      <c r="G19" s="18">
        <v>139.5</v>
      </c>
      <c r="H19" s="12"/>
      <c r="I19" s="12"/>
      <c r="J19" s="12"/>
      <c r="K19" s="12"/>
    </row>
    <row r="20" spans="1:11" x14ac:dyDescent="0.3">
      <c r="A20" s="12">
        <v>16</v>
      </c>
      <c r="B20" s="16">
        <v>1206590</v>
      </c>
      <c r="C20" s="17" t="s">
        <v>98</v>
      </c>
      <c r="D20" s="17" t="s">
        <v>98</v>
      </c>
      <c r="E20" t="s">
        <v>121</v>
      </c>
      <c r="F20" s="17">
        <v>1</v>
      </c>
      <c r="G20" s="18">
        <v>139.5</v>
      </c>
      <c r="H20" s="12"/>
      <c r="I20" s="12"/>
      <c r="J20" s="12"/>
      <c r="K20" s="12"/>
    </row>
    <row r="21" spans="1:11" x14ac:dyDescent="0.3">
      <c r="A21" s="12">
        <v>17</v>
      </c>
      <c r="B21" s="16">
        <v>1206591</v>
      </c>
      <c r="C21" s="17" t="s">
        <v>98</v>
      </c>
      <c r="D21" s="17" t="s">
        <v>98</v>
      </c>
      <c r="E21" t="s">
        <v>121</v>
      </c>
      <c r="F21" s="17">
        <v>1</v>
      </c>
      <c r="G21" s="18">
        <v>139.5</v>
      </c>
      <c r="H21" s="12"/>
      <c r="I21" s="12"/>
      <c r="J21" s="12"/>
      <c r="K21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H28"/>
  <sheetViews>
    <sheetView topLeftCell="A10" workbookViewId="0">
      <selection activeCell="B33" sqref="B33"/>
    </sheetView>
  </sheetViews>
  <sheetFormatPr defaultRowHeight="14.4" x14ac:dyDescent="0.3"/>
  <cols>
    <col min="1" max="1" width="20.109375" bestFit="1" customWidth="1"/>
    <col min="2" max="2" width="14.6640625" bestFit="1" customWidth="1"/>
    <col min="3" max="3" width="9.6640625" bestFit="1" customWidth="1"/>
    <col min="4" max="4" width="6.44140625" bestFit="1" customWidth="1"/>
    <col min="5" max="5" width="4.44140625" bestFit="1" customWidth="1"/>
    <col min="6" max="6" width="46.109375" bestFit="1" customWidth="1"/>
    <col min="7" max="7" width="9.6640625" bestFit="1" customWidth="1"/>
    <col min="8" max="8" width="14.44140625" bestFit="1" customWidth="1"/>
  </cols>
  <sheetData>
    <row r="1" spans="1:6" x14ac:dyDescent="0.3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</row>
    <row r="2" spans="1:6" x14ac:dyDescent="0.3">
      <c r="A2" t="s">
        <v>71</v>
      </c>
      <c r="B2">
        <f>D2*12</f>
        <v>480</v>
      </c>
      <c r="C2" t="s">
        <v>22</v>
      </c>
      <c r="D2">
        <v>40</v>
      </c>
      <c r="E2" t="s">
        <v>24</v>
      </c>
      <c r="F2" t="s">
        <v>23</v>
      </c>
    </row>
    <row r="3" spans="1:6" x14ac:dyDescent="0.3">
      <c r="A3" t="s">
        <v>99</v>
      </c>
      <c r="B3">
        <f t="shared" ref="B3:B28" si="0">D3*12</f>
        <v>600</v>
      </c>
      <c r="C3" t="s">
        <v>25</v>
      </c>
      <c r="D3">
        <v>50</v>
      </c>
      <c r="E3" t="s">
        <v>24</v>
      </c>
      <c r="F3" t="s">
        <v>26</v>
      </c>
    </row>
    <row r="4" spans="1:6" x14ac:dyDescent="0.3">
      <c r="A4" t="s">
        <v>100</v>
      </c>
      <c r="B4">
        <f t="shared" si="0"/>
        <v>480</v>
      </c>
      <c r="C4" t="s">
        <v>27</v>
      </c>
      <c r="D4">
        <v>40</v>
      </c>
      <c r="E4" t="s">
        <v>24</v>
      </c>
      <c r="F4" t="s">
        <v>28</v>
      </c>
    </row>
    <row r="5" spans="1:6" x14ac:dyDescent="0.3">
      <c r="A5" t="s">
        <v>97</v>
      </c>
      <c r="B5">
        <f t="shared" si="0"/>
        <v>600</v>
      </c>
      <c r="C5" t="s">
        <v>29</v>
      </c>
      <c r="D5">
        <v>50</v>
      </c>
      <c r="E5" t="s">
        <v>24</v>
      </c>
      <c r="F5" t="s">
        <v>30</v>
      </c>
    </row>
    <row r="6" spans="1:6" x14ac:dyDescent="0.3">
      <c r="A6" t="s">
        <v>96</v>
      </c>
      <c r="B6">
        <f t="shared" si="0"/>
        <v>720</v>
      </c>
      <c r="C6" t="s">
        <v>15</v>
      </c>
      <c r="D6">
        <v>60</v>
      </c>
      <c r="E6" t="s">
        <v>24</v>
      </c>
      <c r="F6" t="s">
        <v>31</v>
      </c>
    </row>
    <row r="7" spans="1:6" x14ac:dyDescent="0.3">
      <c r="A7" t="s">
        <v>72</v>
      </c>
      <c r="B7">
        <f t="shared" si="0"/>
        <v>720</v>
      </c>
      <c r="C7" t="s">
        <v>32</v>
      </c>
      <c r="D7">
        <v>60</v>
      </c>
      <c r="E7" t="s">
        <v>24</v>
      </c>
      <c r="F7" t="s">
        <v>33</v>
      </c>
    </row>
    <row r="8" spans="1:6" x14ac:dyDescent="0.3">
      <c r="A8" t="s">
        <v>73</v>
      </c>
      <c r="B8">
        <f t="shared" si="0"/>
        <v>480</v>
      </c>
      <c r="C8" t="s">
        <v>34</v>
      </c>
      <c r="D8">
        <v>40</v>
      </c>
      <c r="E8" t="s">
        <v>24</v>
      </c>
      <c r="F8" t="s">
        <v>35</v>
      </c>
    </row>
    <row r="9" spans="1:6" x14ac:dyDescent="0.3">
      <c r="A9" t="s">
        <v>74</v>
      </c>
      <c r="B9">
        <f t="shared" si="0"/>
        <v>480</v>
      </c>
      <c r="C9" t="s">
        <v>36</v>
      </c>
      <c r="D9">
        <v>40</v>
      </c>
      <c r="E9" t="s">
        <v>24</v>
      </c>
      <c r="F9" t="s">
        <v>37</v>
      </c>
    </row>
    <row r="10" spans="1:6" x14ac:dyDescent="0.3">
      <c r="A10" t="s">
        <v>101</v>
      </c>
      <c r="B10">
        <f t="shared" si="0"/>
        <v>480</v>
      </c>
      <c r="C10" t="s">
        <v>38</v>
      </c>
      <c r="D10">
        <v>40</v>
      </c>
      <c r="E10" t="s">
        <v>24</v>
      </c>
      <c r="F10" t="s">
        <v>39</v>
      </c>
    </row>
    <row r="11" spans="1:6" x14ac:dyDescent="0.3">
      <c r="A11" t="s">
        <v>75</v>
      </c>
      <c r="B11">
        <f t="shared" si="0"/>
        <v>480</v>
      </c>
      <c r="C11" t="s">
        <v>40</v>
      </c>
      <c r="D11">
        <v>40</v>
      </c>
      <c r="E11" t="s">
        <v>24</v>
      </c>
      <c r="F11" t="s">
        <v>41</v>
      </c>
    </row>
    <row r="12" spans="1:6" x14ac:dyDescent="0.3">
      <c r="A12" t="s">
        <v>76</v>
      </c>
      <c r="B12">
        <f t="shared" si="0"/>
        <v>600</v>
      </c>
      <c r="C12" t="s">
        <v>17</v>
      </c>
      <c r="D12">
        <v>50</v>
      </c>
      <c r="E12" t="s">
        <v>24</v>
      </c>
      <c r="F12" t="s">
        <v>42</v>
      </c>
    </row>
    <row r="13" spans="1:6" x14ac:dyDescent="0.3">
      <c r="A13" t="s">
        <v>94</v>
      </c>
      <c r="B13">
        <f t="shared" si="0"/>
        <v>480</v>
      </c>
      <c r="C13" t="s">
        <v>43</v>
      </c>
      <c r="D13">
        <v>40</v>
      </c>
      <c r="E13" t="s">
        <v>24</v>
      </c>
      <c r="F13" t="s">
        <v>44</v>
      </c>
    </row>
    <row r="14" spans="1:6" x14ac:dyDescent="0.3">
      <c r="A14" t="s">
        <v>77</v>
      </c>
      <c r="B14">
        <f t="shared" si="0"/>
        <v>480</v>
      </c>
      <c r="C14" t="s">
        <v>45</v>
      </c>
      <c r="D14">
        <v>40</v>
      </c>
      <c r="E14" t="s">
        <v>24</v>
      </c>
      <c r="F14" t="s">
        <v>46</v>
      </c>
    </row>
    <row r="15" spans="1:6" x14ac:dyDescent="0.3">
      <c r="A15" t="s">
        <v>78</v>
      </c>
      <c r="B15">
        <f t="shared" si="0"/>
        <v>480</v>
      </c>
      <c r="C15" t="s">
        <v>47</v>
      </c>
      <c r="D15">
        <v>40</v>
      </c>
      <c r="E15" t="s">
        <v>24</v>
      </c>
      <c r="F15" t="s">
        <v>48</v>
      </c>
    </row>
    <row r="16" spans="1:6" x14ac:dyDescent="0.3">
      <c r="A16" t="s">
        <v>104</v>
      </c>
      <c r="B16">
        <f t="shared" si="0"/>
        <v>720</v>
      </c>
      <c r="C16" t="s">
        <v>49</v>
      </c>
      <c r="D16">
        <v>60</v>
      </c>
      <c r="E16" t="s">
        <v>24</v>
      </c>
      <c r="F16" t="s">
        <v>50</v>
      </c>
    </row>
    <row r="17" spans="1:8" x14ac:dyDescent="0.3">
      <c r="A17" t="s">
        <v>79</v>
      </c>
      <c r="B17">
        <f t="shared" si="0"/>
        <v>720</v>
      </c>
      <c r="C17" t="s">
        <v>51</v>
      </c>
      <c r="D17">
        <v>60</v>
      </c>
      <c r="E17" t="s">
        <v>24</v>
      </c>
      <c r="F17" t="s">
        <v>52</v>
      </c>
    </row>
    <row r="18" spans="1:8" x14ac:dyDescent="0.3">
      <c r="A18" s="20" t="s">
        <v>93</v>
      </c>
      <c r="B18">
        <f t="shared" si="0"/>
        <v>240</v>
      </c>
      <c r="C18" t="s">
        <v>53</v>
      </c>
      <c r="D18">
        <v>20</v>
      </c>
      <c r="E18" t="s">
        <v>24</v>
      </c>
      <c r="F18" t="s">
        <v>54</v>
      </c>
      <c r="H18" s="20"/>
    </row>
    <row r="19" spans="1:8" x14ac:dyDescent="0.3">
      <c r="A19" s="20" t="s">
        <v>92</v>
      </c>
      <c r="B19">
        <f t="shared" si="0"/>
        <v>240</v>
      </c>
      <c r="C19" t="s">
        <v>55</v>
      </c>
      <c r="D19">
        <v>20</v>
      </c>
      <c r="E19" t="s">
        <v>24</v>
      </c>
      <c r="F19" t="s">
        <v>56</v>
      </c>
    </row>
    <row r="20" spans="1:8" x14ac:dyDescent="0.3">
      <c r="A20" t="s">
        <v>125</v>
      </c>
      <c r="B20">
        <f t="shared" si="0"/>
        <v>576</v>
      </c>
      <c r="C20" t="s">
        <v>57</v>
      </c>
      <c r="D20">
        <v>48</v>
      </c>
      <c r="E20" t="s">
        <v>24</v>
      </c>
      <c r="F20" t="s">
        <v>58</v>
      </c>
    </row>
    <row r="21" spans="1:8" x14ac:dyDescent="0.3">
      <c r="A21" t="s">
        <v>119</v>
      </c>
      <c r="B21">
        <f t="shared" si="0"/>
        <v>480</v>
      </c>
      <c r="C21" t="s">
        <v>59</v>
      </c>
      <c r="D21">
        <v>40</v>
      </c>
      <c r="E21" t="s">
        <v>24</v>
      </c>
      <c r="F21" t="s">
        <v>60</v>
      </c>
    </row>
    <row r="22" spans="1:8" x14ac:dyDescent="0.3">
      <c r="A22" t="s">
        <v>121</v>
      </c>
      <c r="B22">
        <f t="shared" si="0"/>
        <v>480</v>
      </c>
      <c r="C22" t="s">
        <v>61</v>
      </c>
      <c r="D22">
        <v>40</v>
      </c>
      <c r="E22" t="s">
        <v>24</v>
      </c>
      <c r="F22" t="s">
        <v>62</v>
      </c>
    </row>
    <row r="23" spans="1:8" x14ac:dyDescent="0.3">
      <c r="A23" t="s">
        <v>120</v>
      </c>
      <c r="B23">
        <f t="shared" si="0"/>
        <v>480</v>
      </c>
      <c r="C23" t="s">
        <v>63</v>
      </c>
      <c r="D23">
        <v>40</v>
      </c>
      <c r="E23" t="s">
        <v>24</v>
      </c>
      <c r="F23" t="s">
        <v>64</v>
      </c>
    </row>
    <row r="24" spans="1:8" x14ac:dyDescent="0.3">
      <c r="A24" s="20" t="s">
        <v>128</v>
      </c>
      <c r="B24">
        <f t="shared" ref="B24:B25" si="1">D24*12</f>
        <v>480</v>
      </c>
      <c r="C24" t="s">
        <v>130</v>
      </c>
      <c r="D24">
        <v>40</v>
      </c>
      <c r="E24" t="s">
        <v>24</v>
      </c>
      <c r="F24" t="s">
        <v>132</v>
      </c>
    </row>
    <row r="25" spans="1:8" x14ac:dyDescent="0.3">
      <c r="A25" s="20" t="s">
        <v>129</v>
      </c>
      <c r="B25">
        <f t="shared" si="1"/>
        <v>480</v>
      </c>
      <c r="C25" t="s">
        <v>131</v>
      </c>
      <c r="D25">
        <v>40</v>
      </c>
      <c r="E25" t="s">
        <v>24</v>
      </c>
      <c r="F25" t="s">
        <v>132</v>
      </c>
    </row>
    <row r="26" spans="1:8" x14ac:dyDescent="0.3">
      <c r="A26" t="s">
        <v>122</v>
      </c>
      <c r="B26">
        <f t="shared" si="0"/>
        <v>240</v>
      </c>
      <c r="C26" t="s">
        <v>65</v>
      </c>
      <c r="D26">
        <v>20</v>
      </c>
      <c r="E26" t="s">
        <v>24</v>
      </c>
      <c r="F26" t="s">
        <v>66</v>
      </c>
    </row>
    <row r="27" spans="1:8" x14ac:dyDescent="0.3">
      <c r="A27" t="s">
        <v>123</v>
      </c>
      <c r="B27">
        <f t="shared" si="0"/>
        <v>240</v>
      </c>
      <c r="C27" t="s">
        <v>67</v>
      </c>
      <c r="D27">
        <v>20</v>
      </c>
      <c r="E27" t="s">
        <v>24</v>
      </c>
      <c r="F27" t="s">
        <v>68</v>
      </c>
    </row>
    <row r="28" spans="1:8" x14ac:dyDescent="0.3">
      <c r="A28" t="s">
        <v>124</v>
      </c>
      <c r="B28">
        <f t="shared" si="0"/>
        <v>480</v>
      </c>
      <c r="C28" t="s">
        <v>69</v>
      </c>
      <c r="D28">
        <v>40</v>
      </c>
      <c r="E28" t="s">
        <v>24</v>
      </c>
      <c r="F28" t="s">
        <v>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3D1A3-9D6E-4E78-A275-CADAE8FFD66C}">
  <sheetPr codeName="Sheet2"/>
  <dimension ref="A1:F7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5546875" customWidth="1"/>
    <col min="4" max="4" width="33.33203125" customWidth="1"/>
    <col min="5" max="5" width="27.44140625" customWidth="1"/>
    <col min="6" max="6" width="22.44140625" customWidth="1"/>
  </cols>
  <sheetData>
    <row r="1" spans="1:6" ht="21" x14ac:dyDescent="0.4">
      <c r="A1" s="19" t="s">
        <v>105</v>
      </c>
      <c r="B1" s="19" t="s">
        <v>106</v>
      </c>
      <c r="C1" s="19" t="s">
        <v>115</v>
      </c>
      <c r="D1" s="19" t="s">
        <v>116</v>
      </c>
      <c r="E1" s="19" t="s">
        <v>118</v>
      </c>
      <c r="F1" s="19" t="s">
        <v>117</v>
      </c>
    </row>
    <row r="2" spans="1:6" x14ac:dyDescent="0.3">
      <c r="A2" t="s">
        <v>76</v>
      </c>
      <c r="B2" t="s">
        <v>17</v>
      </c>
      <c r="C2">
        <v>1</v>
      </c>
      <c r="D2">
        <v>600</v>
      </c>
      <c r="E2">
        <v>50</v>
      </c>
      <c r="F2">
        <v>50</v>
      </c>
    </row>
    <row r="3" spans="1:6" x14ac:dyDescent="0.3">
      <c r="A3" t="s">
        <v>72</v>
      </c>
      <c r="B3" t="s">
        <v>32</v>
      </c>
      <c r="C3">
        <v>1</v>
      </c>
      <c r="D3">
        <v>720</v>
      </c>
      <c r="E3">
        <v>60</v>
      </c>
      <c r="F3">
        <v>60</v>
      </c>
    </row>
    <row r="4" spans="1:6" x14ac:dyDescent="0.3">
      <c r="A4" t="s">
        <v>96</v>
      </c>
      <c r="B4" t="s">
        <v>15</v>
      </c>
      <c r="C4">
        <v>2</v>
      </c>
      <c r="D4">
        <v>720</v>
      </c>
      <c r="E4">
        <v>60</v>
      </c>
      <c r="F4">
        <v>120</v>
      </c>
    </row>
    <row r="5" spans="1:6" x14ac:dyDescent="0.3">
      <c r="A5" t="s">
        <v>97</v>
      </c>
      <c r="B5" t="s">
        <v>29</v>
      </c>
      <c r="C5">
        <v>7</v>
      </c>
      <c r="D5">
        <v>600</v>
      </c>
      <c r="E5">
        <v>50</v>
      </c>
      <c r="F5">
        <v>350</v>
      </c>
    </row>
    <row r="6" spans="1:6" x14ac:dyDescent="0.3">
      <c r="A6" t="s">
        <v>124</v>
      </c>
      <c r="B6" t="s">
        <v>69</v>
      </c>
      <c r="C6">
        <v>4</v>
      </c>
      <c r="D6">
        <v>480</v>
      </c>
      <c r="E6">
        <v>40</v>
      </c>
      <c r="F6">
        <v>160</v>
      </c>
    </row>
    <row r="7" spans="1:6" x14ac:dyDescent="0.3">
      <c r="A7" t="s">
        <v>121</v>
      </c>
      <c r="B7" t="s">
        <v>61</v>
      </c>
      <c r="C7">
        <v>3</v>
      </c>
      <c r="D7">
        <v>480</v>
      </c>
      <c r="E7">
        <v>40</v>
      </c>
      <c r="F7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CF8F7-D254-458F-A2A0-8FA22FB6F864}">
  <sheetPr codeName="Sheet3"/>
  <dimension ref="A1:J22"/>
  <sheetViews>
    <sheetView tabSelected="1" workbookViewId="0"/>
  </sheetViews>
  <sheetFormatPr defaultRowHeight="14.4" x14ac:dyDescent="0.3"/>
  <cols>
    <col min="1" max="1" width="18.109375" bestFit="1" customWidth="1"/>
    <col min="2" max="2" width="15" bestFit="1" customWidth="1"/>
    <col min="3" max="3" width="17.88671875" bestFit="1" customWidth="1"/>
    <col min="4" max="8" width="13.6640625" bestFit="1" customWidth="1"/>
    <col min="9" max="9" width="17.6640625" bestFit="1" customWidth="1"/>
    <col min="10" max="10" width="13.88671875" bestFit="1" customWidth="1"/>
  </cols>
  <sheetData>
    <row r="1" spans="1:10" x14ac:dyDescent="0.3">
      <c r="A1" t="s">
        <v>105</v>
      </c>
      <c r="B1" t="s">
        <v>108</v>
      </c>
      <c r="C1" t="s">
        <v>107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126</v>
      </c>
      <c r="J1" t="s">
        <v>127</v>
      </c>
    </row>
    <row r="2" spans="1:10" x14ac:dyDescent="0.3">
      <c r="A2" t="s">
        <v>76</v>
      </c>
      <c r="B2" t="s">
        <v>17</v>
      </c>
      <c r="C2">
        <v>600</v>
      </c>
      <c r="D2">
        <v>588</v>
      </c>
      <c r="I2">
        <v>588</v>
      </c>
      <c r="J2">
        <v>12</v>
      </c>
    </row>
    <row r="3" spans="1:10" x14ac:dyDescent="0.3">
      <c r="A3" t="s">
        <v>72</v>
      </c>
      <c r="B3" t="s">
        <v>32</v>
      </c>
      <c r="C3">
        <v>720</v>
      </c>
      <c r="D3">
        <v>139.5</v>
      </c>
      <c r="E3">
        <v>139.5</v>
      </c>
      <c r="I3">
        <v>279</v>
      </c>
      <c r="J3">
        <v>441</v>
      </c>
    </row>
    <row r="4" spans="1:10" x14ac:dyDescent="0.3">
      <c r="A4" t="s">
        <v>96</v>
      </c>
      <c r="B4" t="s">
        <v>15</v>
      </c>
      <c r="C4">
        <v>720</v>
      </c>
      <c r="D4">
        <v>139.5</v>
      </c>
      <c r="E4">
        <v>139.5</v>
      </c>
      <c r="F4">
        <v>139.5</v>
      </c>
      <c r="G4">
        <v>139.5</v>
      </c>
      <c r="H4">
        <v>139.5</v>
      </c>
      <c r="I4">
        <v>697.5</v>
      </c>
      <c r="J4">
        <v>22.5</v>
      </c>
    </row>
    <row r="5" spans="1:10" x14ac:dyDescent="0.3">
      <c r="A5" t="s">
        <v>96</v>
      </c>
      <c r="B5" t="s">
        <v>15</v>
      </c>
      <c r="C5">
        <v>720</v>
      </c>
      <c r="D5">
        <v>139.5</v>
      </c>
      <c r="E5">
        <v>139.5</v>
      </c>
      <c r="I5">
        <v>279</v>
      </c>
      <c r="J5">
        <v>441</v>
      </c>
    </row>
    <row r="6" spans="1:10" x14ac:dyDescent="0.3">
      <c r="A6" t="s">
        <v>97</v>
      </c>
      <c r="B6" t="s">
        <v>29</v>
      </c>
      <c r="C6">
        <v>600</v>
      </c>
      <c r="D6">
        <v>598</v>
      </c>
      <c r="I6">
        <v>598</v>
      </c>
      <c r="J6">
        <v>2</v>
      </c>
    </row>
    <row r="7" spans="1:10" x14ac:dyDescent="0.3">
      <c r="A7" t="s">
        <v>97</v>
      </c>
      <c r="B7" t="s">
        <v>29</v>
      </c>
      <c r="C7">
        <v>600</v>
      </c>
      <c r="D7">
        <v>598</v>
      </c>
      <c r="I7">
        <v>598</v>
      </c>
      <c r="J7">
        <v>2</v>
      </c>
    </row>
    <row r="8" spans="1:10" x14ac:dyDescent="0.3">
      <c r="A8" t="s">
        <v>97</v>
      </c>
      <c r="B8" t="s">
        <v>29</v>
      </c>
      <c r="C8">
        <v>600</v>
      </c>
      <c r="D8">
        <v>139.5</v>
      </c>
      <c r="E8">
        <v>139.5</v>
      </c>
      <c r="F8">
        <v>139.5</v>
      </c>
      <c r="G8">
        <v>139.5</v>
      </c>
      <c r="I8">
        <v>558</v>
      </c>
      <c r="J8">
        <v>42</v>
      </c>
    </row>
    <row r="9" spans="1:10" x14ac:dyDescent="0.3">
      <c r="A9" t="s">
        <v>97</v>
      </c>
      <c r="B9" t="s">
        <v>29</v>
      </c>
      <c r="C9">
        <v>600</v>
      </c>
      <c r="D9">
        <v>139.5</v>
      </c>
      <c r="E9">
        <v>139.5</v>
      </c>
      <c r="F9">
        <v>139.5</v>
      </c>
      <c r="G9">
        <v>139.5</v>
      </c>
      <c r="I9">
        <v>558</v>
      </c>
      <c r="J9">
        <v>42</v>
      </c>
    </row>
    <row r="10" spans="1:10" x14ac:dyDescent="0.3">
      <c r="A10" t="s">
        <v>97</v>
      </c>
      <c r="B10" t="s">
        <v>29</v>
      </c>
      <c r="C10">
        <v>600</v>
      </c>
      <c r="D10">
        <v>139.5</v>
      </c>
      <c r="E10">
        <v>139.5</v>
      </c>
      <c r="F10">
        <v>139.5</v>
      </c>
      <c r="G10">
        <v>139.5</v>
      </c>
      <c r="I10">
        <v>558</v>
      </c>
      <c r="J10">
        <v>42</v>
      </c>
    </row>
    <row r="11" spans="1:10" x14ac:dyDescent="0.3">
      <c r="A11" t="s">
        <v>97</v>
      </c>
      <c r="B11" t="s">
        <v>29</v>
      </c>
      <c r="C11">
        <v>600</v>
      </c>
      <c r="D11">
        <v>139.5</v>
      </c>
      <c r="E11">
        <v>139.5</v>
      </c>
      <c r="F11">
        <v>139.5</v>
      </c>
      <c r="G11">
        <v>139.5</v>
      </c>
      <c r="I11">
        <v>558</v>
      </c>
      <c r="J11">
        <v>42</v>
      </c>
    </row>
    <row r="12" spans="1:10" x14ac:dyDescent="0.3">
      <c r="A12" t="s">
        <v>97</v>
      </c>
      <c r="B12" t="s">
        <v>29</v>
      </c>
      <c r="C12">
        <v>600</v>
      </c>
      <c r="D12">
        <v>139.5</v>
      </c>
      <c r="E12">
        <v>139.5</v>
      </c>
      <c r="I12">
        <v>279</v>
      </c>
      <c r="J12">
        <v>321</v>
      </c>
    </row>
    <row r="13" spans="1:10" x14ac:dyDescent="0.3">
      <c r="A13" t="s">
        <v>124</v>
      </c>
      <c r="B13" t="s">
        <v>69</v>
      </c>
      <c r="C13">
        <v>480</v>
      </c>
      <c r="D13">
        <v>139.5</v>
      </c>
      <c r="E13">
        <v>139.5</v>
      </c>
      <c r="F13">
        <v>139.5</v>
      </c>
      <c r="I13">
        <v>418.5</v>
      </c>
      <c r="J13">
        <v>61.5</v>
      </c>
    </row>
    <row r="14" spans="1:10" x14ac:dyDescent="0.3">
      <c r="A14" t="s">
        <v>124</v>
      </c>
      <c r="B14" t="s">
        <v>69</v>
      </c>
      <c r="C14">
        <v>480</v>
      </c>
      <c r="D14">
        <v>139.5</v>
      </c>
      <c r="E14">
        <v>139.5</v>
      </c>
      <c r="F14">
        <v>139.5</v>
      </c>
      <c r="I14">
        <v>418.5</v>
      </c>
      <c r="J14">
        <v>61.5</v>
      </c>
    </row>
    <row r="15" spans="1:10" x14ac:dyDescent="0.3">
      <c r="A15" t="s">
        <v>124</v>
      </c>
      <c r="B15" t="s">
        <v>69</v>
      </c>
      <c r="C15">
        <v>480</v>
      </c>
      <c r="D15">
        <v>139.5</v>
      </c>
      <c r="E15">
        <v>139.5</v>
      </c>
      <c r="F15">
        <v>139.5</v>
      </c>
      <c r="I15">
        <v>418.5</v>
      </c>
      <c r="J15">
        <v>61.5</v>
      </c>
    </row>
    <row r="16" spans="1:10" x14ac:dyDescent="0.3">
      <c r="A16" t="s">
        <v>124</v>
      </c>
      <c r="B16" t="s">
        <v>69</v>
      </c>
      <c r="C16">
        <v>480</v>
      </c>
      <c r="D16">
        <v>139.5</v>
      </c>
      <c r="E16">
        <v>139.5</v>
      </c>
      <c r="F16">
        <v>139.5</v>
      </c>
      <c r="I16">
        <v>418.5</v>
      </c>
      <c r="J16">
        <v>61.5</v>
      </c>
    </row>
    <row r="17" spans="1:10" x14ac:dyDescent="0.3">
      <c r="A17" t="s">
        <v>121</v>
      </c>
      <c r="B17" t="s">
        <v>61</v>
      </c>
      <c r="C17">
        <v>480</v>
      </c>
      <c r="D17">
        <v>139.5</v>
      </c>
      <c r="E17">
        <v>139.5</v>
      </c>
      <c r="F17">
        <v>139.5</v>
      </c>
      <c r="I17">
        <v>418.5</v>
      </c>
      <c r="J17">
        <v>61.5</v>
      </c>
    </row>
    <row r="18" spans="1:10" x14ac:dyDescent="0.3">
      <c r="A18" t="s">
        <v>121</v>
      </c>
      <c r="B18" t="s">
        <v>61</v>
      </c>
      <c r="C18">
        <v>480</v>
      </c>
      <c r="D18">
        <v>139.5</v>
      </c>
      <c r="E18">
        <v>139.5</v>
      </c>
      <c r="F18">
        <v>139.5</v>
      </c>
      <c r="I18">
        <v>418.5</v>
      </c>
      <c r="J18">
        <v>61.5</v>
      </c>
    </row>
    <row r="19" spans="1:10" x14ac:dyDescent="0.3">
      <c r="A19" t="s">
        <v>121</v>
      </c>
      <c r="B19" t="s">
        <v>61</v>
      </c>
      <c r="C19">
        <v>480</v>
      </c>
      <c r="D19">
        <v>139.5</v>
      </c>
      <c r="E19">
        <v>139.5</v>
      </c>
      <c r="F19">
        <v>139.5</v>
      </c>
      <c r="I19">
        <v>418.5</v>
      </c>
      <c r="J19">
        <v>61.5</v>
      </c>
    </row>
    <row r="21" spans="1:10" x14ac:dyDescent="0.3">
      <c r="C21">
        <v>10320</v>
      </c>
      <c r="I21">
        <v>8480</v>
      </c>
      <c r="J21">
        <v>1840</v>
      </c>
    </row>
    <row r="22" spans="1:10" x14ac:dyDescent="0.3">
      <c r="J22" s="21">
        <v>0.17829999999999999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MOH-6</cp:lastModifiedBy>
  <cp:lastPrinted>2021-01-19T06:12:27Z</cp:lastPrinted>
  <dcterms:created xsi:type="dcterms:W3CDTF">2015-06-05T18:17:20Z</dcterms:created>
  <dcterms:modified xsi:type="dcterms:W3CDTF">2022-01-31T10:50:26Z</dcterms:modified>
</cp:coreProperties>
</file>