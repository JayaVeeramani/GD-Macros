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20230202\"/>
    </mc:Choice>
  </mc:AlternateContent>
  <xr:revisionPtr revIDLastSave="0" documentId="13_ncr:1_{8A311A2B-8E8E-46EF-B1EA-95FF2A4C52C9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56" r:id="rId3"/>
    <sheet name="DetailedNesting" sheetId="5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5" l="1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12" i="15"/>
  <c r="B4" i="15"/>
  <c r="B3" i="15"/>
  <c r="B2" i="15"/>
</calcChain>
</file>

<file path=xl/sharedStrings.xml><?xml version="1.0" encoding="utf-8"?>
<sst xmlns="http://schemas.openxmlformats.org/spreadsheetml/2006/main" count="292" uniqueCount="153">
  <si>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</si>
  <si>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</si>
  <si>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</si>
  <si>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</si>
  <si>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</si>
  <si>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</si>
  <si>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</si>
  <si>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</si>
  <si>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</si>
  <si>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</si>
  <si>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</si>
  <si>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</si>
  <si>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</si>
  <si>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</si>
  <si>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</si>
  <si>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</si>
  <si>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</si>
  <si>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</si>
  <si>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</si>
  <si>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</si>
  <si>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</si>
  <si>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</si>
  <si>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</si>
  <si>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</si>
  <si>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</si>
  <si>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</si>
  <si>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</si>
  <si>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</si>
  <si>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</si>
  <si>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</si>
  <si>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</si>
  <si>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</si>
  <si>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</si>
  <si>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</si>
  <si>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</si>
  <si>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</si>
  <si>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</si>
  <si>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</si>
  <si>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</si>
  <si>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</si>
  <si>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</si>
  <si>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</si>
  <si>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</si>
  <si>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</si>
  <si>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</si>
  <si>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</si>
  <si>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</si>
  <si>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</si>
  <si>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</si>
  <si>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</si>
  <si>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</si>
  <si>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</si>
  <si>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</si>
  <si>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</si>
  <si>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</si>
  <si>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</si>
  <si>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</si>
  <si>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</si>
  <si>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</si>
  <si>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</si>
  <si>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</si>
  <si>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</si>
  <si>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</si>
  <si>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</si>
  <si>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</si>
  <si>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</si>
  <si>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</si>
  <si>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</si>
  <si>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</si>
  <si>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</si>
  <si>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</si>
  <si>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</si>
  <si>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</si>
  <si>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</si>
  <si>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</si>
  <si>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</si>
  <si>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</si>
  <si>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</si>
  <si>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</si>
  <si>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</si>
  <si>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</si>
  <si>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</si>
  <si>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</si>
  <si>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</si>
  <si>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</si>
  <si>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</si>
  <si>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</si>
  <si>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</si>
  <si>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</si>
  <si>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</si>
  <si>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</si>
  <si>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</si>
  <si>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</si>
  <si>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</si>
  <si>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</si>
  <si>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</si>
  <si>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</si>
  <si>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</si>
  <si>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</si>
  <si>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</si>
  <si>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</si>
  <si>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</si>
  <si>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</si>
  <si>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</si>
  <si>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</si>
  <si>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</si>
  <si>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</si>
  <si>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</si>
  <si>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</si>
  <si>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</si>
  <si>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</si>
  <si>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</si>
  <si>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</si>
  <si>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</si>
  <si>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</si>
  <si>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</si>
  <si>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</si>
  <si>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</si>
  <si>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</si>
  <si>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</si>
  <si>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</si>
  <si>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</si>
  <si>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</si>
  <si>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</si>
  <si>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</si>
  <si>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</si>
  <si>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</si>
  <si>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</si>
  <si>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</si>
  <si>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</si>
  <si>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</si>
  <si>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</si>
  <si>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</si>
  <si>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</si>
  <si>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</si>
  <si>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</si>
  <si>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</si>
  <si>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</si>
  <si>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</si>
  <si>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</si>
  <si>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</si>
  <si>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</si>
  <si>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</si>
  <si>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</si>
  <si>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</si>
  <si>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</si>
  <si>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</si>
  <si>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B</t>
  </si>
  <si>
    <t>C</t>
  </si>
  <si>
    <t>P01633-FLOOR</t>
  </si>
  <si>
    <t> 804-14010</t>
  </si>
  <si>
    <t>PRO</t>
  </si>
  <si>
    <t>Cut Length6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</si>
</sst>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4" totalsRowShown="0">
  <autoFilter ref="A4:K54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C564D9-0D1B-4C9E-902B-572C93A1843F}" name="Table1" displayName="Table1_1" ref="A1:F5" totalsRowShown="0" headerRowDxfId="0">
  <autoFilter ref="A1:F5" xr:uid="{A6C564D9-0D1B-4C9E-902B-572C93A1843F}"/>
  <tableColumns count="6">
    <tableColumn id="1" xr3:uid="{792BFF65-63B8-4459-81F7-3C0CD64682D2}" name="Item Description"/>
    <tableColumn id="2" xr3:uid="{AEC9A462-6670-4BCC-BCBC-F0C3525A9B57}" name="Raw Material Number"/>
    <tableColumn id="3" xr3:uid="{09672627-FFA0-4A1B-B87F-B8CA1A5799B9}" name="Qty"/>
    <tableColumn id="4" xr3:uid="{6DA9902D-BF04-40EE-960B-EA14E1E43446}" name="Purchase Length(inches)"/>
    <tableColumn id="5" xr3:uid="{D0DD8F16-A07B-49B3-B66D-926F49568C84}" name="Purchase Length(ft)"/>
    <tableColumn id="6" xr3:uid="{05DC51A7-5A8E-4632-8B56-6285CCEA0C44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D5E162-4A60-4BA1-BD12-1E9FC7CF1B4C}" name="Table2" displayName="Table2" ref="A1:K7" totalsRowShown="0">
  <autoFilter ref="A1:K7" xr:uid="{B6D5E162-4A60-4BA1-BD12-1E9FC7CF1B4C}"/>
  <tableColumns count="11">
    <tableColumn id="1" xr3:uid="{DAF04093-E03A-47AF-B01B-1130C3D817A3}" name="Item Description"/>
    <tableColumn id="2" xr3:uid="{C2965F30-E718-414B-B50A-2D14CCEC4704}" name="Raw Material"/>
    <tableColumn id="3" xr3:uid="{80F159B1-2725-499F-A653-1A7CAF969AAC}" name="Purchase Length"/>
    <tableColumn id="4" xr3:uid="{8A4A99DA-3EC8-41CD-811E-4B7D05A3EDC3}" name="Cut Length1"/>
    <tableColumn id="5" xr3:uid="{D7B03E7A-3E7B-4FD0-9032-7EEA2733C0AB}" name="Cut Length2"/>
    <tableColumn id="6" xr3:uid="{2F1C53E1-2B1C-4128-B9F4-071A1E6F765B}" name="Cut Length3"/>
    <tableColumn id="7" xr3:uid="{260DB67F-DCAE-4967-B7FD-27C0BEEC0B26}" name="Cut Length4"/>
    <tableColumn id="8" xr3:uid="{56699511-316B-4CD2-A3BB-F3F91F7A0B1D}" name="Cut Length5"/>
    <tableColumn id="9" xr3:uid="{56D19AA0-BAB5-4A55-AB57-D4B6EDD4D9A6}" name="Cut Length6"/>
    <tableColumn id="10" xr3:uid="{85416CD1-8E09-4646-9CC3-08B9BD3DBD7F}" name="Total Cut Length"/>
    <tableColumn id="11" xr3:uid="{D0A86B7B-4C97-4ECF-AD7B-72296C3C99AD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4"/>
  <sheetViews>
    <sheetView zoomScale="115" zoomScaleNormal="115" workbookViewId="0">
      <selection activeCell="G10" sqref="G10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2</v>
      </c>
      <c r="B5" s="22" t="s">
        <v>149</v>
      </c>
      <c r="C5" s="23" t="s">
        <v>147</v>
      </c>
      <c r="D5" s="22">
        <v>2</v>
      </c>
      <c r="E5" s="22" t="s">
        <v>61</v>
      </c>
      <c r="F5" s="23">
        <v>1</v>
      </c>
      <c r="G5" s="24">
        <v>563.75</v>
      </c>
      <c r="H5" s="21" t="s">
        <v>26</v>
      </c>
      <c r="I5" s="21" t="s">
        <v>111</v>
      </c>
      <c r="J5" s="21"/>
      <c r="K5" s="21"/>
      <c r="L5" s="15" t="s">
        <v>112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3</v>
      </c>
      <c r="B6" s="22" t="s">
        <v>149</v>
      </c>
      <c r="C6" s="23" t="s">
        <v>147</v>
      </c>
      <c r="D6" s="22">
        <v>3</v>
      </c>
      <c r="E6" s="22" t="s">
        <v>61</v>
      </c>
      <c r="F6" s="23">
        <v>1</v>
      </c>
      <c r="G6" s="24">
        <v>563.75</v>
      </c>
      <c r="H6" s="21" t="s">
        <v>26</v>
      </c>
      <c r="I6" s="21" t="s">
        <v>111</v>
      </c>
      <c r="J6" s="21"/>
      <c r="K6" s="21"/>
      <c r="L6" s="15" t="s">
        <v>112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4</v>
      </c>
      <c r="B7" s="22" t="s">
        <v>149</v>
      </c>
      <c r="C7" s="23" t="s">
        <v>147</v>
      </c>
      <c r="D7" s="22">
        <v>4</v>
      </c>
      <c r="E7" s="22" t="s">
        <v>61</v>
      </c>
      <c r="F7" s="23">
        <v>4</v>
      </c>
      <c r="G7" s="24">
        <v>145.5</v>
      </c>
      <c r="H7" s="21" t="s">
        <v>26</v>
      </c>
      <c r="I7" s="21" t="s">
        <v>111</v>
      </c>
      <c r="J7" s="21"/>
      <c r="K7" s="21"/>
      <c r="L7" s="17" t="s">
        <v>112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5</v>
      </c>
      <c r="B8" s="22" t="s">
        <v>149</v>
      </c>
      <c r="C8" s="23" t="s">
        <v>147</v>
      </c>
      <c r="D8" s="22">
        <v>5</v>
      </c>
      <c r="E8" s="22" t="s">
        <v>61</v>
      </c>
      <c r="F8" s="23">
        <v>2</v>
      </c>
      <c r="G8" s="24">
        <v>145.5</v>
      </c>
      <c r="H8" s="21" t="s">
        <v>26</v>
      </c>
      <c r="I8" s="21" t="s">
        <v>111</v>
      </c>
      <c r="J8" s="21"/>
      <c r="K8" s="21"/>
      <c r="L8" s="17" t="s">
        <v>112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6</v>
      </c>
      <c r="B9" s="22" t="s">
        <v>149</v>
      </c>
      <c r="C9" s="23" t="s">
        <v>148</v>
      </c>
      <c r="D9" s="22">
        <v>6</v>
      </c>
      <c r="E9" s="22" t="s">
        <v>81</v>
      </c>
      <c r="F9" s="23">
        <v>5</v>
      </c>
      <c r="G9" s="24">
        <v>145.5</v>
      </c>
      <c r="H9" s="21" t="s">
        <v>23</v>
      </c>
      <c r="I9" s="21" t="s">
        <v>111</v>
      </c>
      <c r="J9" s="21"/>
      <c r="K9" s="21"/>
      <c r="L9" s="15" t="s">
        <v>113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7</v>
      </c>
      <c r="B10" s="22" t="s">
        <v>149</v>
      </c>
      <c r="C10" s="23" t="s">
        <v>148</v>
      </c>
      <c r="D10" s="22">
        <v>7</v>
      </c>
      <c r="E10" s="22" t="s">
        <v>81</v>
      </c>
      <c r="F10" s="23">
        <v>1</v>
      </c>
      <c r="G10" s="24">
        <v>115.5</v>
      </c>
      <c r="H10" s="21" t="s">
        <v>23</v>
      </c>
      <c r="I10" s="21" t="s">
        <v>111</v>
      </c>
      <c r="J10" s="21"/>
      <c r="K10" s="21"/>
      <c r="L10" s="15" t="s">
        <v>112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8</v>
      </c>
      <c r="B11" s="22" t="s">
        <v>149</v>
      </c>
      <c r="C11" s="23" t="s">
        <v>148</v>
      </c>
      <c r="D11" s="22">
        <v>8</v>
      </c>
      <c r="E11" s="22" t="s">
        <v>81</v>
      </c>
      <c r="F11" s="23">
        <v>1</v>
      </c>
      <c r="G11" s="24">
        <v>82</v>
      </c>
      <c r="H11" s="21" t="s">
        <v>23</v>
      </c>
      <c r="I11" s="21" t="s">
        <v>111</v>
      </c>
      <c r="J11" s="21"/>
      <c r="K11" s="21"/>
      <c r="L11" s="15" t="s">
        <v>112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>
        <v>9</v>
      </c>
      <c r="B12" s="22" t="s">
        <v>149</v>
      </c>
      <c r="C12" s="23" t="s">
        <v>148</v>
      </c>
      <c r="D12" s="22">
        <v>9</v>
      </c>
      <c r="E12" s="22" t="s">
        <v>81</v>
      </c>
      <c r="F12" s="23">
        <v>3</v>
      </c>
      <c r="G12" s="24">
        <v>35.25</v>
      </c>
      <c r="H12" s="21" t="s">
        <v>23</v>
      </c>
      <c r="I12" s="21" t="s">
        <v>111</v>
      </c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>
        <v>10</v>
      </c>
      <c r="B13" s="22" t="s">
        <v>149</v>
      </c>
      <c r="C13" s="23" t="s">
        <v>148</v>
      </c>
      <c r="D13" s="22">
        <v>10</v>
      </c>
      <c r="E13" s="22" t="s">
        <v>81</v>
      </c>
      <c r="F13" s="23">
        <v>1</v>
      </c>
      <c r="G13" s="24">
        <v>26.5</v>
      </c>
      <c r="H13" s="21" t="s">
        <v>150</v>
      </c>
      <c r="I13" s="21" t="s">
        <v>151</v>
      </c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5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7"/>
      <c r="C25" s="28"/>
      <c r="D25" s="27"/>
      <c r="E25" s="27"/>
      <c r="F25" s="28"/>
      <c r="G25" s="29"/>
      <c r="H25" s="30"/>
      <c r="I25" s="26"/>
      <c r="J25" s="26"/>
      <c r="K25" s="26"/>
    </row>
    <row r="26" spans="1:1023" x14ac:dyDescent="0.3">
      <c r="A26" s="21"/>
      <c r="B26" s="22"/>
      <c r="C26" s="23"/>
      <c r="D26" s="22"/>
      <c r="E26" s="22"/>
      <c r="F26" s="23"/>
      <c r="G26" s="24"/>
      <c r="H26" s="25"/>
      <c r="I26" s="21"/>
      <c r="J26" s="21"/>
      <c r="K26" s="21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7"/>
      <c r="C34" s="28"/>
      <c r="D34" s="27"/>
      <c r="E34" s="27"/>
      <c r="F34" s="28"/>
      <c r="G34" s="29"/>
      <c r="H34" s="30"/>
      <c r="I34" s="26"/>
      <c r="J34" s="26"/>
      <c r="K34" s="26"/>
    </row>
    <row r="35" spans="1:11" x14ac:dyDescent="0.3">
      <c r="A35" s="21"/>
      <c r="B35" s="22"/>
      <c r="C35" s="23"/>
      <c r="D35" s="22"/>
      <c r="E35" s="22"/>
      <c r="F35" s="23"/>
      <c r="G35" s="24"/>
      <c r="H35" s="25"/>
      <c r="I35" s="21"/>
      <c r="J35" s="21"/>
      <c r="K35" s="21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6"/>
  <sheetViews>
    <sheetView zoomScale="115" zoomScaleNormal="115" workbookViewId="0">
      <selection activeCell="B9" sqref="B9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0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764</v>
      </c>
      <c r="C5" s="16" t="s">
        <v>129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728</v>
      </c>
      <c r="C6" s="16" t="s">
        <v>130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688</v>
      </c>
      <c r="C7" s="16" t="s">
        <v>131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604</v>
      </c>
      <c r="C8" s="16" t="s">
        <v>132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340</v>
      </c>
      <c r="C9" s="16" t="s">
        <v>133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332</v>
      </c>
      <c r="C10" s="16" t="s">
        <v>134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308</v>
      </c>
      <c r="C11" s="16" t="s">
        <v>135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80</v>
      </c>
      <c r="B12" s="16">
        <f t="shared" si="0"/>
        <v>720</v>
      </c>
      <c r="C12" s="16" t="s">
        <v>14</v>
      </c>
      <c r="D12" s="16">
        <v>60</v>
      </c>
      <c r="E12" s="16" t="s">
        <v>18</v>
      </c>
      <c r="F12" s="16" t="s">
        <v>25</v>
      </c>
    </row>
    <row r="13" spans="1:6" x14ac:dyDescent="0.2">
      <c r="A13" s="16" t="s">
        <v>80</v>
      </c>
      <c r="B13" s="16">
        <v>700</v>
      </c>
      <c r="C13" s="16" t="s">
        <v>136</v>
      </c>
      <c r="D13" s="16">
        <v>60</v>
      </c>
      <c r="E13" s="16" t="s">
        <v>18</v>
      </c>
      <c r="F13" s="16" t="s">
        <v>25</v>
      </c>
    </row>
    <row r="14" spans="1:6" x14ac:dyDescent="0.2">
      <c r="A14" s="16" t="s">
        <v>61</v>
      </c>
      <c r="B14" s="16">
        <v>804</v>
      </c>
      <c r="C14" s="16" t="s">
        <v>137</v>
      </c>
      <c r="D14" s="16">
        <v>60</v>
      </c>
      <c r="E14" s="16" t="s">
        <v>18</v>
      </c>
      <c r="F14" s="16" t="s">
        <v>27</v>
      </c>
    </row>
    <row r="15" spans="1:6" x14ac:dyDescent="0.2">
      <c r="A15" s="16" t="s">
        <v>61</v>
      </c>
      <c r="B15" s="16">
        <v>756</v>
      </c>
      <c r="C15" s="16" t="s">
        <v>138</v>
      </c>
      <c r="D15" s="16">
        <v>60</v>
      </c>
      <c r="E15" s="16" t="s">
        <v>18</v>
      </c>
      <c r="F15" s="16" t="s">
        <v>27</v>
      </c>
    </row>
    <row r="16" spans="1:6" x14ac:dyDescent="0.2">
      <c r="A16" s="16" t="s">
        <v>61</v>
      </c>
      <c r="B16" s="16">
        <v>732</v>
      </c>
      <c r="C16" s="16" t="s">
        <v>139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692</v>
      </c>
      <c r="C17" s="16" t="s">
        <v>140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672</v>
      </c>
      <c r="C18" s="16" t="s">
        <v>141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580</v>
      </c>
      <c r="C19" s="16" t="s">
        <v>142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568</v>
      </c>
      <c r="C20" s="16" t="s">
        <v>143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460</v>
      </c>
      <c r="C21" s="16" t="s">
        <v>144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440</v>
      </c>
      <c r="C22" s="16" t="s">
        <v>145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424</v>
      </c>
      <c r="C23" s="16" t="s">
        <v>146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62</v>
      </c>
      <c r="B24" s="16">
        <f t="shared" si="0"/>
        <v>480</v>
      </c>
      <c r="C24" s="16" t="s">
        <v>28</v>
      </c>
      <c r="D24" s="16">
        <v>40</v>
      </c>
      <c r="E24" s="16" t="s">
        <v>18</v>
      </c>
      <c r="F24" s="16" t="s">
        <v>29</v>
      </c>
    </row>
    <row r="25" spans="1:6" x14ac:dyDescent="0.2">
      <c r="A25" s="16" t="s">
        <v>84</v>
      </c>
      <c r="B25" s="16">
        <f t="shared" si="0"/>
        <v>480</v>
      </c>
      <c r="C25" s="16" t="s">
        <v>30</v>
      </c>
      <c r="D25" s="16">
        <v>40</v>
      </c>
      <c r="E25" s="16" t="s">
        <v>18</v>
      </c>
      <c r="F25" s="16" t="s">
        <v>31</v>
      </c>
    </row>
    <row r="26" spans="1:6" x14ac:dyDescent="0.2">
      <c r="A26" s="16" t="s">
        <v>63</v>
      </c>
      <c r="B26" s="16">
        <f t="shared" si="0"/>
        <v>480</v>
      </c>
      <c r="C26" s="16" t="s">
        <v>32</v>
      </c>
      <c r="D26" s="16">
        <v>40</v>
      </c>
      <c r="E26" s="16" t="s">
        <v>18</v>
      </c>
      <c r="F26" s="16" t="s">
        <v>33</v>
      </c>
    </row>
    <row r="27" spans="1:6" x14ac:dyDescent="0.2">
      <c r="A27" s="16" t="s">
        <v>64</v>
      </c>
      <c r="B27" s="16">
        <f t="shared" si="0"/>
        <v>600</v>
      </c>
      <c r="C27" s="16" t="s">
        <v>15</v>
      </c>
      <c r="D27" s="16">
        <v>50</v>
      </c>
      <c r="E27" s="16" t="s">
        <v>18</v>
      </c>
      <c r="F27" s="16" t="s">
        <v>34</v>
      </c>
    </row>
    <row r="28" spans="1:6" x14ac:dyDescent="0.2">
      <c r="A28" s="16" t="s">
        <v>79</v>
      </c>
      <c r="B28" s="16">
        <f t="shared" si="0"/>
        <v>480</v>
      </c>
      <c r="C28" s="16" t="s">
        <v>35</v>
      </c>
      <c r="D28" s="16">
        <v>40</v>
      </c>
      <c r="E28" s="16" t="s">
        <v>18</v>
      </c>
      <c r="F28" s="16" t="s">
        <v>36</v>
      </c>
    </row>
    <row r="29" spans="1:6" x14ac:dyDescent="0.2">
      <c r="A29" s="16" t="s">
        <v>65</v>
      </c>
      <c r="B29" s="16">
        <f t="shared" si="0"/>
        <v>480</v>
      </c>
      <c r="C29" s="16" t="s">
        <v>37</v>
      </c>
      <c r="D29" s="16">
        <v>40</v>
      </c>
      <c r="E29" s="16" t="s">
        <v>18</v>
      </c>
      <c r="F29" s="16" t="s">
        <v>38</v>
      </c>
    </row>
    <row r="30" spans="1:6" x14ac:dyDescent="0.2">
      <c r="A30" s="16" t="s">
        <v>66</v>
      </c>
      <c r="B30" s="16">
        <f t="shared" si="0"/>
        <v>480</v>
      </c>
      <c r="C30" s="16" t="s">
        <v>39</v>
      </c>
      <c r="D30" s="16">
        <v>40</v>
      </c>
      <c r="E30" s="16" t="s">
        <v>18</v>
      </c>
      <c r="F30" s="16" t="s">
        <v>40</v>
      </c>
    </row>
    <row r="31" spans="1:6" x14ac:dyDescent="0.2">
      <c r="A31" s="16" t="s">
        <v>85</v>
      </c>
      <c r="B31" s="16">
        <f t="shared" si="0"/>
        <v>720</v>
      </c>
      <c r="C31" s="16" t="s">
        <v>41</v>
      </c>
      <c r="D31" s="16">
        <v>60</v>
      </c>
      <c r="E31" s="16" t="s">
        <v>18</v>
      </c>
      <c r="F31" s="16" t="s">
        <v>42</v>
      </c>
    </row>
    <row r="32" spans="1:6" x14ac:dyDescent="0.2">
      <c r="A32" s="16" t="s">
        <v>67</v>
      </c>
      <c r="B32" s="16">
        <f t="shared" si="0"/>
        <v>720</v>
      </c>
      <c r="C32" s="16" t="s">
        <v>43</v>
      </c>
      <c r="D32" s="16">
        <v>60</v>
      </c>
      <c r="E32" s="16" t="s">
        <v>18</v>
      </c>
      <c r="F32" s="16" t="s">
        <v>44</v>
      </c>
    </row>
    <row r="33" spans="1:6" x14ac:dyDescent="0.2">
      <c r="A33" s="16" t="s">
        <v>78</v>
      </c>
      <c r="B33" s="16">
        <f t="shared" si="0"/>
        <v>240</v>
      </c>
      <c r="C33" s="16" t="s">
        <v>45</v>
      </c>
      <c r="D33" s="16">
        <v>20</v>
      </c>
      <c r="E33" s="16" t="s">
        <v>18</v>
      </c>
      <c r="F33" s="16" t="s">
        <v>46</v>
      </c>
    </row>
    <row r="34" spans="1:6" x14ac:dyDescent="0.2">
      <c r="A34" s="16" t="s">
        <v>77</v>
      </c>
      <c r="B34" s="16">
        <f t="shared" si="0"/>
        <v>240</v>
      </c>
      <c r="C34" s="16" t="s">
        <v>47</v>
      </c>
      <c r="D34" s="16">
        <v>20</v>
      </c>
      <c r="E34" s="16" t="s">
        <v>18</v>
      </c>
      <c r="F34" s="16" t="s">
        <v>48</v>
      </c>
    </row>
    <row r="35" spans="1:6" x14ac:dyDescent="0.2">
      <c r="A35" s="16" t="s">
        <v>91</v>
      </c>
      <c r="B35" s="16">
        <f t="shared" si="0"/>
        <v>576</v>
      </c>
      <c r="C35" s="16" t="s">
        <v>49</v>
      </c>
      <c r="D35" s="16">
        <v>48</v>
      </c>
      <c r="E35" s="16" t="s">
        <v>18</v>
      </c>
      <c r="F35" s="16" t="s">
        <v>50</v>
      </c>
    </row>
    <row r="36" spans="1:6" x14ac:dyDescent="0.2">
      <c r="A36" s="16" t="s">
        <v>86</v>
      </c>
      <c r="B36" s="16">
        <f t="shared" si="0"/>
        <v>480</v>
      </c>
      <c r="C36" s="16" t="s">
        <v>51</v>
      </c>
      <c r="D36" s="16">
        <v>40</v>
      </c>
      <c r="E36" s="16" t="s">
        <v>18</v>
      </c>
      <c r="F36" s="16" t="s">
        <v>52</v>
      </c>
    </row>
    <row r="37" spans="1:6" x14ac:dyDescent="0.2">
      <c r="A37" s="16" t="s">
        <v>88</v>
      </c>
      <c r="B37" s="16">
        <f t="shared" si="0"/>
        <v>480</v>
      </c>
      <c r="C37" s="16" t="s">
        <v>53</v>
      </c>
      <c r="D37" s="16">
        <v>40</v>
      </c>
      <c r="E37" s="16" t="s">
        <v>18</v>
      </c>
      <c r="F37" s="16" t="s">
        <v>54</v>
      </c>
    </row>
    <row r="38" spans="1:6" x14ac:dyDescent="0.2">
      <c r="A38" s="16" t="s">
        <v>87</v>
      </c>
      <c r="B38" s="16">
        <f t="shared" si="0"/>
        <v>576</v>
      </c>
      <c r="C38" s="16" t="s">
        <v>55</v>
      </c>
      <c r="D38" s="16">
        <v>48</v>
      </c>
      <c r="E38" s="16" t="s">
        <v>18</v>
      </c>
      <c r="F38" s="16" t="s">
        <v>56</v>
      </c>
    </row>
    <row r="39" spans="1:6" x14ac:dyDescent="0.2">
      <c r="A39" s="16" t="s">
        <v>89</v>
      </c>
      <c r="B39" s="16">
        <f t="shared" si="0"/>
        <v>240</v>
      </c>
      <c r="C39" s="16" t="s">
        <v>57</v>
      </c>
      <c r="D39" s="16">
        <v>20</v>
      </c>
      <c r="E39" s="16" t="s">
        <v>18</v>
      </c>
      <c r="F39" s="16" t="s">
        <v>92</v>
      </c>
    </row>
    <row r="40" spans="1:6" x14ac:dyDescent="0.2">
      <c r="A40" s="16" t="s">
        <v>90</v>
      </c>
      <c r="B40" s="16">
        <f t="shared" si="0"/>
        <v>480</v>
      </c>
      <c r="C40" s="16" t="s">
        <v>58</v>
      </c>
      <c r="D40" s="16">
        <v>40</v>
      </c>
      <c r="E40" s="16" t="s">
        <v>18</v>
      </c>
      <c r="F40" s="16" t="s">
        <v>59</v>
      </c>
    </row>
    <row r="41" spans="1:6" x14ac:dyDescent="0.2">
      <c r="A41" s="16" t="s">
        <v>99</v>
      </c>
      <c r="B41" s="16">
        <f>D41*12</f>
        <v>240</v>
      </c>
      <c r="C41" s="16" t="s">
        <v>93</v>
      </c>
      <c r="D41" s="16">
        <v>20</v>
      </c>
      <c r="E41" s="16" t="s">
        <v>18</v>
      </c>
      <c r="F41" s="16" t="s">
        <v>94</v>
      </c>
    </row>
    <row r="42" spans="1:6" x14ac:dyDescent="0.2">
      <c r="A42" s="16" t="s">
        <v>100</v>
      </c>
      <c r="B42" s="16">
        <f t="shared" ref="B42:B44" si="1">D42*12</f>
        <v>240</v>
      </c>
      <c r="C42" s="16" t="s">
        <v>95</v>
      </c>
      <c r="D42" s="16">
        <v>20</v>
      </c>
      <c r="E42" s="16" t="s">
        <v>18</v>
      </c>
      <c r="F42" s="16" t="s">
        <v>96</v>
      </c>
    </row>
    <row r="43" spans="1:6" x14ac:dyDescent="0.2">
      <c r="A43" s="16" t="s">
        <v>101</v>
      </c>
      <c r="B43" s="16">
        <f t="shared" si="1"/>
        <v>240</v>
      </c>
      <c r="C43" s="16" t="s">
        <v>97</v>
      </c>
      <c r="D43" s="16">
        <v>20</v>
      </c>
      <c r="E43" s="16" t="s">
        <v>18</v>
      </c>
      <c r="F43" s="16" t="s">
        <v>98</v>
      </c>
    </row>
    <row r="44" spans="1:6" x14ac:dyDescent="0.2">
      <c r="A44" s="16" t="s">
        <v>103</v>
      </c>
      <c r="B44" s="16">
        <f t="shared" si="1"/>
        <v>240</v>
      </c>
      <c r="C44" s="16" t="s">
        <v>102</v>
      </c>
      <c r="D44" s="16">
        <v>20</v>
      </c>
      <c r="E44" s="16" t="s">
        <v>18</v>
      </c>
      <c r="F44" s="16" t="s">
        <v>104</v>
      </c>
    </row>
    <row r="45" spans="1:6" x14ac:dyDescent="0.2">
      <c r="A45" s="16" t="s">
        <v>105</v>
      </c>
      <c r="B45" s="16">
        <v>480</v>
      </c>
      <c r="C45" s="16" t="s">
        <v>106</v>
      </c>
      <c r="D45" s="16">
        <v>40</v>
      </c>
      <c r="E45" s="16" t="s">
        <v>18</v>
      </c>
      <c r="F45" s="16" t="s">
        <v>109</v>
      </c>
    </row>
    <row r="46" spans="1:6" x14ac:dyDescent="0.2">
      <c r="A46" s="16" t="s">
        <v>107</v>
      </c>
      <c r="B46" s="16">
        <v>480</v>
      </c>
      <c r="C46" s="16" t="s">
        <v>108</v>
      </c>
      <c r="D46" s="16">
        <v>40</v>
      </c>
      <c r="E46" s="16" t="s">
        <v>18</v>
      </c>
      <c r="F46" s="16" t="s">
        <v>110</v>
      </c>
    </row>
  </sheetData>
  <dataConsolidate/>
  <phoneticPr fontId="6" type="noConversion"/>
  <conditionalFormatting sqref="C53:C58">
    <cfRule type="duplicateValues" dxfId="5" priority="4"/>
  </conditionalFormatting>
  <conditionalFormatting sqref="C86:C87 C45:C52 C98:C1048576">
    <cfRule type="duplicateValues" dxfId="4" priority="9"/>
  </conditionalFormatting>
  <conditionalFormatting sqref="C38:C43 C1:C34">
    <cfRule type="duplicateValues" dxfId="3" priority="3"/>
  </conditionalFormatting>
  <conditionalFormatting sqref="C35">
    <cfRule type="duplicateValues" dxfId="2" priority="2"/>
  </conditionalFormatting>
  <conditionalFormatting sqref="C36:C37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F1A20-EDD9-4549-B3CE-2116879B16D3}">
  <dimension ref="A1:F5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114</v>
      </c>
      <c r="B1" s="31" t="s">
        <v>115</v>
      </c>
      <c r="C1" s="31" t="s">
        <v>116</v>
      </c>
      <c r="D1" s="31" t="s">
        <v>117</v>
      </c>
      <c r="E1" s="31" t="s">
        <v>118</v>
      </c>
      <c r="F1" s="31" t="s">
        <v>119</v>
      </c>
    </row>
    <row r="2" spans="1:6" x14ac:dyDescent="0.3">
      <c r="A2" t="s">
        <v>61</v>
      </c>
      <c r="B2" t="s">
        <v>145</v>
      </c>
      <c r="C2">
        <v>2</v>
      </c>
      <c r="D2">
        <v>440</v>
      </c>
      <c r="E2">
        <v>36.67</v>
      </c>
      <c r="F2">
        <v>73.33</v>
      </c>
    </row>
    <row r="3" spans="1:6" x14ac:dyDescent="0.3">
      <c r="A3" t="s">
        <v>61</v>
      </c>
      <c r="B3" t="s">
        <v>143</v>
      </c>
      <c r="C3">
        <v>2</v>
      </c>
      <c r="D3">
        <v>568</v>
      </c>
      <c r="E3">
        <v>47.33</v>
      </c>
      <c r="F3">
        <v>94.67</v>
      </c>
    </row>
    <row r="4" spans="1:6" x14ac:dyDescent="0.3">
      <c r="A4" t="s">
        <v>81</v>
      </c>
      <c r="B4" t="s">
        <v>130</v>
      </c>
      <c r="C4">
        <v>1</v>
      </c>
      <c r="D4">
        <v>728</v>
      </c>
      <c r="E4">
        <v>60.67</v>
      </c>
      <c r="F4">
        <v>60.67</v>
      </c>
    </row>
    <row r="5" spans="1:6" x14ac:dyDescent="0.3">
      <c r="A5" t="s">
        <v>81</v>
      </c>
      <c r="B5" t="s">
        <v>133</v>
      </c>
      <c r="C5">
        <v>1</v>
      </c>
      <c r="D5">
        <v>340</v>
      </c>
      <c r="E5">
        <v>28.33</v>
      </c>
      <c r="F5">
        <v>28.33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44794-197D-4CF2-AB60-9E3DCC2AA93A}">
  <dimension ref="A1:K10"/>
  <sheetViews>
    <sheetView tabSelected="1" workbookViewId="0">
      <selection activeCell="H12" sqref="H12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9" width="13" customWidth="1"/>
    <col min="10" max="10" width="16.6640625" customWidth="1"/>
    <col min="11" max="11" width="12.77734375" customWidth="1"/>
  </cols>
  <sheetData>
    <row r="1" spans="1:11" x14ac:dyDescent="0.3">
      <c r="A1" t="s">
        <v>114</v>
      </c>
      <c r="B1" t="s">
        <v>120</v>
      </c>
      <c r="C1" t="s">
        <v>121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152</v>
      </c>
      <c r="J1" t="s">
        <v>122</v>
      </c>
      <c r="K1" t="s">
        <v>123</v>
      </c>
    </row>
    <row r="2" spans="1:11" x14ac:dyDescent="0.3">
      <c r="A2" t="s">
        <v>61</v>
      </c>
      <c r="B2" t="s">
        <v>145</v>
      </c>
      <c r="C2">
        <v>440</v>
      </c>
      <c r="D2">
        <v>145.5</v>
      </c>
      <c r="E2">
        <v>145.5</v>
      </c>
      <c r="F2">
        <v>145.5</v>
      </c>
      <c r="J2">
        <v>436.5</v>
      </c>
      <c r="K2">
        <v>3.5</v>
      </c>
    </row>
    <row r="3" spans="1:11" x14ac:dyDescent="0.3">
      <c r="A3" t="s">
        <v>61</v>
      </c>
      <c r="B3" t="s">
        <v>145</v>
      </c>
      <c r="C3">
        <v>440</v>
      </c>
      <c r="D3">
        <v>145.5</v>
      </c>
      <c r="E3">
        <v>145.5</v>
      </c>
      <c r="F3">
        <v>145.5</v>
      </c>
      <c r="J3">
        <v>436.5</v>
      </c>
      <c r="K3">
        <v>3.5</v>
      </c>
    </row>
    <row r="4" spans="1:11" x14ac:dyDescent="0.3">
      <c r="A4" t="s">
        <v>61</v>
      </c>
      <c r="B4" t="s">
        <v>143</v>
      </c>
      <c r="C4">
        <v>568</v>
      </c>
      <c r="D4">
        <v>563.75</v>
      </c>
      <c r="J4">
        <v>563.75</v>
      </c>
      <c r="K4">
        <v>4.25</v>
      </c>
    </row>
    <row r="5" spans="1:11" x14ac:dyDescent="0.3">
      <c r="A5" t="s">
        <v>61</v>
      </c>
      <c r="B5" t="s">
        <v>143</v>
      </c>
      <c r="C5">
        <v>568</v>
      </c>
      <c r="D5">
        <v>563.75</v>
      </c>
      <c r="J5">
        <v>563.75</v>
      </c>
      <c r="K5">
        <v>4.25</v>
      </c>
    </row>
    <row r="6" spans="1:11" x14ac:dyDescent="0.3">
      <c r="A6" t="s">
        <v>81</v>
      </c>
      <c r="B6" t="s">
        <v>130</v>
      </c>
      <c r="C6">
        <v>728</v>
      </c>
      <c r="D6">
        <v>145.5</v>
      </c>
      <c r="E6">
        <v>145.5</v>
      </c>
      <c r="F6">
        <v>145.5</v>
      </c>
      <c r="G6">
        <v>145.5</v>
      </c>
      <c r="H6">
        <v>115.5</v>
      </c>
      <c r="I6">
        <v>26.5</v>
      </c>
      <c r="J6">
        <v>724</v>
      </c>
      <c r="K6">
        <v>4</v>
      </c>
    </row>
    <row r="7" spans="1:11" x14ac:dyDescent="0.3">
      <c r="A7" t="s">
        <v>81</v>
      </c>
      <c r="B7" t="s">
        <v>133</v>
      </c>
      <c r="C7">
        <v>340</v>
      </c>
      <c r="D7">
        <v>145.5</v>
      </c>
      <c r="E7">
        <v>82</v>
      </c>
      <c r="F7">
        <v>35.25</v>
      </c>
      <c r="G7">
        <v>35.25</v>
      </c>
      <c r="H7">
        <v>35.25</v>
      </c>
      <c r="J7">
        <v>333.25</v>
      </c>
      <c r="K7">
        <v>6.75</v>
      </c>
    </row>
    <row r="9" spans="1:11" x14ac:dyDescent="0.3">
      <c r="C9">
        <v>3084</v>
      </c>
      <c r="J9">
        <v>3057.75</v>
      </c>
      <c r="K9">
        <v>26.25</v>
      </c>
    </row>
    <row r="10" spans="1:11" x14ac:dyDescent="0.3">
      <c r="K10" s="32">
        <v>8.5000000000000006E-3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2023-02-02T08:24:02Z</dcterms:modified>
</cp:coreProperties>
</file>