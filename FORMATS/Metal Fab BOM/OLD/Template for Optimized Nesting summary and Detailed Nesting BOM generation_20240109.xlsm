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IN-2\Dropbox\FBD\IMP E-Mails and Information\STANDARDS\FORMATS\Metal Fab BOM\"/>
    </mc:Choice>
  </mc:AlternateContent>
  <xr:revisionPtr revIDLastSave="0" documentId="13_ncr:1_{5F3A26FE-A342-405F-B7D7-5AA79C44C2E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15" r:id="rId2"/>
    <sheet name="NestingSummary" sheetId="17" r:id="rId3"/>
    <sheet name="DetailedNesting" sheetId="1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5" l="1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" i="15"/>
  <c r="B46" i="15" l="1"/>
  <c r="B45" i="15"/>
  <c r="B44" i="15"/>
  <c r="B43" i="15"/>
  <c r="B42" i="15"/>
  <c r="D27" i="15"/>
  <c r="D38" i="15"/>
  <c r="D31" i="15"/>
  <c r="D41" i="15"/>
  <c r="D32" i="15"/>
  <c r="D40" i="15"/>
  <c r="D37" i="15"/>
  <c r="D39" i="15"/>
  <c r="D28" i="15"/>
  <c r="D26" i="15"/>
  <c r="D34" i="15"/>
  <c r="D30" i="15"/>
  <c r="D36" i="15"/>
  <c r="D29" i="15"/>
  <c r="D35" i="15"/>
</calcChain>
</file>

<file path=xl/sharedStrings.xml><?xml version="1.0" encoding="utf-8"?>
<sst xmlns="http://schemas.openxmlformats.org/spreadsheetml/2006/main" count="493" uniqueCount="209">
  <si>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</si>
  <si>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</si>
  <si>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</si>
  <si>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</si>
  <si>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</si>
  <si>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</si>
  <si>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</si>
  <si>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</si>
  <si>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</si>
  <si>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</si>
  <si>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</si>
  <si>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</si>
  <si>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</si>
  <si>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</si>
  <si>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</si>
  <si>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</si>
  <si>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</si>
  <si>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</si>
  <si>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</si>
  <si>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</si>
  <si>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</si>
  <si>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</si>
  <si>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</si>
  <si>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</si>
  <si>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</si>
  <si>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</si>
  <si>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</si>
  <si>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</si>
  <si>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</si>
  <si>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</si>
  <si>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</si>
  <si>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</si>
  <si>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</si>
  <si>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</si>
  <si>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</si>
  <si>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</si>
  <si>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</si>
  <si>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</si>
  <si>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</si>
  <si>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</si>
  <si>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</si>
  <si>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</si>
  <si>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</si>
  <si>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</si>
  <si>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</si>
  <si>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</si>
  <si>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</si>
  <si>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</si>
  <si>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</si>
  <si>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</si>
  <si>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</si>
  <si>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</si>
  <si>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</si>
  <si>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</si>
  <si>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</si>
  <si>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</si>
  <si>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</si>
  <si>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</si>
  <si>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</si>
  <si>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</si>
  <si>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</si>
  <si>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</si>
  <si>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</si>
  <si>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</si>
  <si>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</si>
  <si>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</si>
  <si>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</si>
  <si>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</si>
  <si>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</si>
  <si>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</si>
  <si>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</si>
  <si>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</si>
  <si>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</si>
  <si>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</si>
  <si>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</si>
  <si>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</si>
  <si>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</si>
  <si>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</si>
  <si>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</si>
  <si>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</si>
  <si>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</si>
  <si>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</si>
  <si>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</si>
  <si>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</si>
  <si>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</si>
  <si>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</si>
  <si>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</si>
  <si>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</si>
  <si>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</si>
  <si>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</si>
  <si>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</si>
  <si>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</si>
  <si>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</si>
  <si>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</si>
  <si>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</si>
  <si>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</si>
  <si>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</si>
  <si>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</si>
  <si>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</si>
  <si>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</si>
  <si>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</si>
  <si>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</si>
  <si>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</si>
  <si>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</si>
  <si>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</si>
  <si>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</si>
  <si>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</si>
  <si>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</si>
  <si>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</si>
  <si>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</si>
  <si>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</si>
  <si>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</si>
  <si>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</si>
  <si>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</si>
  <si>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</si>
  <si>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</si>
  <si>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</si>
  <si>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</si>
  <si>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</si>
  <si>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</si>
  <si>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</si>
  <si>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</si>
  <si>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</si>
  <si>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</si>
  <si>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</si>
  <si>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</si>
  <si>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</si>
  <si>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</si>
  <si>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</si>
  <si>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D</t>
  </si>
  <si>
    <t>A</t>
  </si>
  <si>
    <t>B</t>
  </si>
  <si>
    <t>C</t>
  </si>
  <si>
    <t>P01488-FLOOR</t>
  </si>
  <si>
    <t>199 1/2”</t>
  </si>
  <si>
    <t>767 1/2”</t>
  </si>
  <si>
    <t>154 3/8”</t>
  </si>
  <si>
    <t>173 3/4”</t>
  </si>
  <si>
    <t>167 7/8”</t>
  </si>
  <si>
    <t>102 3/4”</t>
  </si>
  <si>
    <t>20 7/8”</t>
  </si>
  <si>
    <t>166”</t>
  </si>
  <si>
    <t>146 3/4”</t>
  </si>
  <si>
    <t>25 3/4”</t>
  </si>
  <si>
    <t>47 1/8”</t>
  </si>
  <si>
    <t>39”</t>
  </si>
  <si>
    <t>24 1/4”</t>
  </si>
  <si>
    <t>180 1/4”</t>
  </si>
  <si>
    <t>29 1/2”</t>
  </si>
  <si>
    <t>30 1/8”</t>
  </si>
  <si>
    <t>112 3/8”</t>
  </si>
  <si>
    <t>144 3/4”</t>
  </si>
  <si>
    <t>75 1/2”</t>
  </si>
  <si>
    <t>161 3/4”</t>
  </si>
  <si>
    <t>139 3/8”</t>
  </si>
  <si>
    <t>133 1/2”</t>
  </si>
  <si>
    <t>215 1/4”</t>
  </si>
  <si>
    <t>209 3/4”</t>
  </si>
  <si>
    <t>145 3/8”</t>
  </si>
  <si>
    <t>Item Description</t>
  </si>
  <si>
    <t>Raw Material</t>
  </si>
  <si>
    <t>Purchase Length (in)</t>
  </si>
  <si>
    <t>Purchase Length (ft - in)</t>
  </si>
  <si>
    <t>Cut Length1</t>
  </si>
  <si>
    <t>Cut Length2</t>
  </si>
  <si>
    <t>Cut Length3</t>
  </si>
  <si>
    <t>Cut Length4</t>
  </si>
  <si>
    <t>Cut Length5</t>
  </si>
  <si>
    <t>Cut Length6</t>
  </si>
  <si>
    <t>Cut Length7</t>
  </si>
  <si>
    <t>Total Cut Length</t>
  </si>
  <si>
    <t>Total Waste</t>
  </si>
  <si>
    <t>58' - 4"</t>
  </si>
  <si>
    <t>A1</t>
  </si>
  <si>
    <t>A2</t>
  </si>
  <si>
    <t>A3</t>
  </si>
  <si>
    <t>A4</t>
  </si>
  <si>
    <t>A5</t>
  </si>
  <si>
    <t>A6</t>
  </si>
  <si>
    <t>67' - 0"</t>
  </si>
  <si>
    <t>B7</t>
  </si>
  <si>
    <t>B8</t>
  </si>
  <si>
    <t>27' - 8"</t>
  </si>
  <si>
    <t>C13</t>
  </si>
  <si>
    <t>C17</t>
  </si>
  <si>
    <t>C12</t>
  </si>
  <si>
    <t>C9</t>
  </si>
  <si>
    <t>50' - 4"</t>
  </si>
  <si>
    <t>C19</t>
  </si>
  <si>
    <t>C18</t>
  </si>
  <si>
    <t>C11</t>
  </si>
  <si>
    <t>C10</t>
  </si>
  <si>
    <t>C21</t>
  </si>
  <si>
    <t>C14</t>
  </si>
  <si>
    <t>57' - 4"</t>
  </si>
  <si>
    <t>C20</t>
  </si>
  <si>
    <t>60' - 8"</t>
  </si>
  <si>
    <t>C16</t>
  </si>
  <si>
    <t>63' - 8"</t>
  </si>
  <si>
    <t>C15</t>
  </si>
  <si>
    <t>40' - 0"</t>
  </si>
  <si>
    <t>D23</t>
  </si>
  <si>
    <t>D22</t>
  </si>
  <si>
    <t>1170' - 0"</t>
  </si>
  <si>
    <t>Raw Material Number</t>
  </si>
  <si>
    <t>Qty.</t>
  </si>
  <si>
    <t>Purchase Length (inches)</t>
  </si>
  <si>
    <t>Purchase Length(ft)</t>
  </si>
  <si>
    <t>Total Length(ft)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</si>
</sst>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\ yy"/>
  </numFmts>
  <fonts count="9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3">
    <xf numFmtId="0" fontId="0" fillId="0" borderId="0"/>
    <xf numFmtId="0" fontId="7" fillId="0" borderId="0"/>
    <xf numFmtId="0" fontId="8" fillId="0" borderId="0"/>
  </cellStyleXfs>
  <cellXfs count="26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0" fontId="6" fillId="0" borderId="0" xfId="0" applyFont="1"/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2" fillId="5" borderId="2" xfId="1" applyFont="1" applyFill="1" applyBorder="1" applyAlignment="1">
      <alignment horizontal="left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left" vertical="center"/>
    </xf>
    <xf numFmtId="12" fontId="2" fillId="0" borderId="2" xfId="0" applyNumberFormat="1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2" fontId="6" fillId="0" borderId="0" xfId="0" applyNumberFormat="1" applyFont="1"/>
    <xf numFmtId="12" fontId="1" fillId="2" borderId="1" xfId="0" applyNumberFormat="1" applyFont="1" applyFill="1" applyBorder="1" applyAlignment="1">
      <alignment horizontal="center"/>
    </xf>
    <xf numFmtId="12" fontId="2" fillId="0" borderId="0" xfId="0" applyNumberFormat="1" applyFont="1"/>
    <xf numFmtId="12" fontId="3" fillId="4" borderId="2" xfId="0" applyNumberFormat="1" applyFont="1" applyFill="1" applyBorder="1" applyAlignment="1">
      <alignment horizontal="center" vertical="center" wrapText="1"/>
    </xf>
    <xf numFmtId="12" fontId="2" fillId="5" borderId="2" xfId="0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3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41" totalsRowShown="0">
  <autoFilter ref="A4:K41" xr:uid="{CDF9619B-F0E7-490D-BEFA-727196256470}"/>
  <tableColumns count="11">
    <tableColumn id="1" xr3:uid="{4774FE6E-D79F-4E40-98D1-FE10D40ABC07}" name="SL. NO." dataDxfId="30"/>
    <tableColumn id="2" xr3:uid="{9884691F-0A0D-47CB-8EF0-9AE590C29CC9}" name="PART#" dataDxfId="29" dataCellStyle="Normal 2"/>
    <tableColumn id="3" xr3:uid="{3868E0BB-A494-4109-A7E8-244E1F15175E}" name="LEGEND" dataDxfId="28"/>
    <tableColumn id="4" xr3:uid="{A4F222A3-F838-4FED-8402-8D5E4131929A}" name="ITEM #" dataDxfId="27"/>
    <tableColumn id="5" xr3:uid="{6C82C4FD-0222-4263-8F8F-1DE29AB0E7E9}" name="DESCRIPTION" dataDxfId="26"/>
    <tableColumn id="6" xr3:uid="{74DDC800-B5E7-459A-ABF8-ABAF51A457AC}" name="QTY." dataDxfId="25"/>
    <tableColumn id="7" xr3:uid="{119738FE-8C63-4234-ACE4-FA9F6A046F9C}" name="LENGTH (in.)" dataDxfId="24"/>
    <tableColumn id="8" xr3:uid="{E4370ABC-D39E-4392-8F0E-6B9C56981840}" name="RAW MATERIAL _x000a_NUMBER" dataDxfId="23"/>
    <tableColumn id="9" xr3:uid="{1A2B8888-81A1-4DB4-A951-BBABDB4647C7}" name="SUPPLIER" dataDxfId="22"/>
    <tableColumn id="10" xr3:uid="{709F9ABD-F4C3-4F5E-9F71-D158E141171F}" name="SUB-ASSEMBLY" dataDxfId="21"/>
    <tableColumn id="11" xr3:uid="{047AD226-E9D9-4FBE-A92A-B42E92B0B3A3}" name="REMARKS" dataDxfId="2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00D9BA-2A2F-4443-84CB-6DBAD8D8AA89}" name="Table1" displayName="Table1_2" ref="A1:F11" totalsRowShown="0">
  <autoFilter ref="A1:F11" xr:uid="{EB00D9BA-2A2F-4443-84CB-6DBAD8D8AA89}"/>
  <tableColumns count="6">
    <tableColumn id="1" xr3:uid="{095F0C29-EE9F-4068-9355-6591F49F187B}" name="Item Description"/>
    <tableColumn id="2" xr3:uid="{29DC6618-962D-4602-A645-5F78FBBDCBF0}" name="Raw Material Number"/>
    <tableColumn id="3" xr3:uid="{80064C35-B43D-4224-A75F-5F674F8B0D37}" name="Qty."/>
    <tableColumn id="4" xr3:uid="{D15C5ED7-205C-49D5-B829-9B5114D5D60D}" name="Purchase Length (inches)"/>
    <tableColumn id="5" xr3:uid="{661C423C-6B91-4DDD-BABB-DFF50B6749B4}" name="Purchase Length(ft)"/>
    <tableColumn id="6" xr3:uid="{8EED4BFD-4B96-4EA9-A0EE-51E8F25FCEE7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8ECEB2-E1C0-4C0A-AA6F-DB7066266342}" name="Table1" displayName="Table1_1" ref="A1:M72" totalsRowShown="0" headerRowDxfId="14" dataDxfId="13">
  <autoFilter ref="A1:M72" xr:uid="{958ECEB2-E1C0-4C0A-AA6F-DB7066266342}"/>
  <tableColumns count="13">
    <tableColumn id="1" xr3:uid="{07824549-D834-4089-829D-EB964D7B1465}" name="Item Description" dataDxfId="12"/>
    <tableColumn id="2" xr3:uid="{4395E4D6-D034-4B9C-8502-6798CDB56DA1}" name="Raw Material" dataDxfId="11"/>
    <tableColumn id="3" xr3:uid="{2500ACF7-6F41-4A5B-934D-E6371EF0129F}" name="Purchase Length (in)" dataDxfId="10"/>
    <tableColumn id="4" xr3:uid="{8ED72D94-2122-465E-95ED-E26CE0C35EB9}" name="Purchase Length (ft - in)" dataDxfId="9"/>
    <tableColumn id="5" xr3:uid="{57613262-DC0A-4CDB-8D87-312AF45CA15E}" name="Cut Length1" dataDxfId="8"/>
    <tableColumn id="6" xr3:uid="{C15AEDF7-0E4B-4375-855B-4DB9F325E8BE}" name="Cut Length2" dataDxfId="7"/>
    <tableColumn id="7" xr3:uid="{373A6890-9202-4C2C-ACC8-D1E4B98E33DB}" name="Cut Length3" dataDxfId="6"/>
    <tableColumn id="8" xr3:uid="{83ADDFAC-EF94-4D4A-A940-2F94F9EE3942}" name="Cut Length4" dataDxfId="5"/>
    <tableColumn id="9" xr3:uid="{92AC1B48-2BA9-4E3F-B135-2C23C8762345}" name="Cut Length5" dataDxfId="4"/>
    <tableColumn id="10" xr3:uid="{3D6FF682-33D0-4267-9A8B-8B92DC6B01FD}" name="Cut Length6" dataDxfId="3"/>
    <tableColumn id="11" xr3:uid="{CCAD0EE0-03E3-4548-B3A1-C14E1B9FCFEB}" name="Cut Length7" dataDxfId="2"/>
    <tableColumn id="12" xr3:uid="{17B40DBF-CA48-47B9-A244-5742FA03731F}" name="Total Cut Length" dataDxfId="1"/>
    <tableColumn id="13" xr3:uid="{9EDD828D-8CAE-4ED7-9BE7-1146C15D1B4D}" name="Total Was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41"/>
  <sheetViews>
    <sheetView tabSelected="1" zoomScale="115" zoomScaleNormal="115" workbookViewId="0">
      <selection activeCell="K28" sqref="K28"/>
    </sheetView>
  </sheetViews>
  <sheetFormatPr defaultRowHeight="14.4" x14ac:dyDescent="0.3"/>
  <cols>
    <col min="1" max="1" width="15.77734375" style="7" bestFit="1" customWidth="1"/>
    <col min="2" max="2" width="14.5546875" style="8" bestFit="1" customWidth="1"/>
    <col min="3" max="3" width="13.109375" style="7" bestFit="1" customWidth="1"/>
    <col min="4" max="4" width="11.21875" style="7" bestFit="1" customWidth="1"/>
    <col min="5" max="5" width="26.21875" style="7" bestFit="1" customWidth="1"/>
    <col min="6" max="6" width="9.6640625" style="7" bestFit="1" customWidth="1"/>
    <col min="7" max="7" width="13" style="23" bestFit="1" customWidth="1"/>
    <col min="8" max="8" width="14.5546875" style="7" bestFit="1" customWidth="1"/>
    <col min="9" max="9" width="12" style="7" bestFit="1" customWidth="1"/>
    <col min="10" max="10" width="15.33203125" style="7" bestFit="1" customWidth="1"/>
    <col min="11" max="11" width="14.5546875" style="7" bestFit="1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1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22"/>
      <c r="H1" s="3"/>
      <c r="I1" s="3"/>
      <c r="J1" s="3"/>
      <c r="K1" s="3"/>
    </row>
    <row r="2" spans="1:11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22"/>
      <c r="H2" s="3"/>
      <c r="I2" s="3"/>
      <c r="J2" s="3"/>
      <c r="K2" s="3"/>
    </row>
    <row r="3" spans="1:11" x14ac:dyDescent="0.3">
      <c r="E3" s="9"/>
    </row>
    <row r="4" spans="1:11" ht="39.6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24" t="s">
        <v>12</v>
      </c>
      <c r="H4" s="13" t="s">
        <v>13</v>
      </c>
      <c r="I4" s="13" t="s">
        <v>74</v>
      </c>
      <c r="J4" s="13" t="s">
        <v>75</v>
      </c>
      <c r="K4" s="13" t="s">
        <v>76</v>
      </c>
    </row>
    <row r="5" spans="1:11" x14ac:dyDescent="0.3">
      <c r="A5" s="14"/>
      <c r="B5" s="15" t="s">
        <v>133</v>
      </c>
      <c r="C5" s="16" t="s">
        <v>130</v>
      </c>
      <c r="D5" s="16">
        <v>1</v>
      </c>
      <c r="E5" s="17" t="s">
        <v>80</v>
      </c>
      <c r="F5" s="16">
        <v>2</v>
      </c>
      <c r="G5" s="25" t="s">
        <v>134</v>
      </c>
      <c r="H5" s="17"/>
      <c r="I5" s="14"/>
      <c r="J5" s="14"/>
      <c r="K5" s="14"/>
    </row>
    <row r="6" spans="1:11" x14ac:dyDescent="0.3">
      <c r="A6" s="14"/>
      <c r="B6" s="15" t="s">
        <v>133</v>
      </c>
      <c r="C6" s="16" t="s">
        <v>130</v>
      </c>
      <c r="D6" s="16">
        <v>2</v>
      </c>
      <c r="E6" s="17" t="s">
        <v>80</v>
      </c>
      <c r="F6" s="16">
        <v>3</v>
      </c>
      <c r="G6" s="25" t="s">
        <v>134</v>
      </c>
      <c r="H6" s="17"/>
      <c r="I6" s="14"/>
      <c r="J6" s="14"/>
      <c r="K6" s="14"/>
    </row>
    <row r="7" spans="1:11" x14ac:dyDescent="0.3">
      <c r="A7" s="14"/>
      <c r="B7" s="15" t="s">
        <v>133</v>
      </c>
      <c r="C7" s="16" t="s">
        <v>130</v>
      </c>
      <c r="D7" s="16">
        <v>3</v>
      </c>
      <c r="E7" s="17" t="s">
        <v>80</v>
      </c>
      <c r="F7" s="16">
        <v>1</v>
      </c>
      <c r="G7" s="25" t="s">
        <v>134</v>
      </c>
      <c r="H7" s="17"/>
      <c r="I7" s="14"/>
      <c r="J7" s="14"/>
      <c r="K7" s="14"/>
    </row>
    <row r="8" spans="1:11" x14ac:dyDescent="0.3">
      <c r="A8" s="14"/>
      <c r="B8" s="15" t="s">
        <v>133</v>
      </c>
      <c r="C8" s="16" t="s">
        <v>130</v>
      </c>
      <c r="D8" s="16">
        <v>4</v>
      </c>
      <c r="E8" s="17" t="s">
        <v>80</v>
      </c>
      <c r="F8" s="16">
        <v>1</v>
      </c>
      <c r="G8" s="25" t="s">
        <v>134</v>
      </c>
      <c r="H8" s="17"/>
      <c r="I8" s="14"/>
      <c r="J8" s="14"/>
      <c r="K8" s="14"/>
    </row>
    <row r="9" spans="1:11" x14ac:dyDescent="0.3">
      <c r="A9" s="14"/>
      <c r="B9" s="15" t="s">
        <v>133</v>
      </c>
      <c r="C9" s="16" t="s">
        <v>130</v>
      </c>
      <c r="D9" s="16">
        <v>5</v>
      </c>
      <c r="E9" s="17" t="s">
        <v>80</v>
      </c>
      <c r="F9" s="16">
        <v>1</v>
      </c>
      <c r="G9" s="25" t="s">
        <v>134</v>
      </c>
      <c r="H9" s="17"/>
      <c r="I9" s="14"/>
      <c r="J9" s="14"/>
      <c r="K9" s="14"/>
    </row>
    <row r="10" spans="1:11" x14ac:dyDescent="0.3">
      <c r="A10" s="14"/>
      <c r="B10" s="15" t="s">
        <v>133</v>
      </c>
      <c r="C10" s="16" t="s">
        <v>130</v>
      </c>
      <c r="D10" s="16">
        <v>6</v>
      </c>
      <c r="E10" s="17" t="s">
        <v>80</v>
      </c>
      <c r="F10" s="16">
        <v>1</v>
      </c>
      <c r="G10" s="25" t="s">
        <v>134</v>
      </c>
      <c r="H10" s="17"/>
      <c r="I10" s="14"/>
      <c r="J10" s="14"/>
      <c r="K10" s="14"/>
    </row>
    <row r="11" spans="1:11" x14ac:dyDescent="0.3">
      <c r="A11" s="14"/>
      <c r="B11" s="15" t="s">
        <v>133</v>
      </c>
      <c r="C11" s="16" t="s">
        <v>131</v>
      </c>
      <c r="D11" s="16">
        <v>7</v>
      </c>
      <c r="E11" s="17" t="s">
        <v>61</v>
      </c>
      <c r="F11" s="16">
        <v>1</v>
      </c>
      <c r="G11" s="25" t="s">
        <v>135</v>
      </c>
      <c r="H11" s="17"/>
      <c r="I11" s="14"/>
      <c r="J11" s="14"/>
      <c r="K11" s="14"/>
    </row>
    <row r="12" spans="1:11" x14ac:dyDescent="0.3">
      <c r="A12" s="14"/>
      <c r="B12" s="15" t="s">
        <v>133</v>
      </c>
      <c r="C12" s="16" t="s">
        <v>131</v>
      </c>
      <c r="D12" s="16">
        <v>8</v>
      </c>
      <c r="E12" s="17" t="s">
        <v>61</v>
      </c>
      <c r="F12" s="16">
        <v>1</v>
      </c>
      <c r="G12" s="25" t="s">
        <v>135</v>
      </c>
      <c r="H12" s="17"/>
      <c r="I12" s="14"/>
      <c r="J12" s="14"/>
      <c r="K12" s="14"/>
    </row>
    <row r="13" spans="1:11" x14ac:dyDescent="0.3">
      <c r="A13" s="14"/>
      <c r="B13" s="15" t="s">
        <v>133</v>
      </c>
      <c r="C13" s="16" t="s">
        <v>132</v>
      </c>
      <c r="D13" s="16">
        <v>9</v>
      </c>
      <c r="E13" s="17" t="s">
        <v>81</v>
      </c>
      <c r="F13" s="16">
        <v>1</v>
      </c>
      <c r="G13" s="25" t="s">
        <v>136</v>
      </c>
      <c r="H13" s="17"/>
      <c r="I13" s="14"/>
      <c r="J13" s="14"/>
      <c r="K13" s="14"/>
    </row>
    <row r="14" spans="1:11" x14ac:dyDescent="0.3">
      <c r="A14" s="14"/>
      <c r="B14" s="15" t="s">
        <v>133</v>
      </c>
      <c r="C14" s="16" t="s">
        <v>132</v>
      </c>
      <c r="D14" s="16">
        <v>10</v>
      </c>
      <c r="E14" s="17" t="s">
        <v>81</v>
      </c>
      <c r="F14" s="16">
        <v>7</v>
      </c>
      <c r="G14" s="25" t="s">
        <v>137</v>
      </c>
      <c r="H14" s="17"/>
      <c r="I14" s="14"/>
      <c r="J14" s="14"/>
      <c r="K14" s="14"/>
    </row>
    <row r="15" spans="1:11" x14ac:dyDescent="0.3">
      <c r="A15" s="14"/>
      <c r="B15" s="15" t="s">
        <v>133</v>
      </c>
      <c r="C15" s="16" t="s">
        <v>132</v>
      </c>
      <c r="D15" s="16">
        <v>11</v>
      </c>
      <c r="E15" s="17" t="s">
        <v>81</v>
      </c>
      <c r="F15" s="16">
        <v>1</v>
      </c>
      <c r="G15" s="25" t="s">
        <v>138</v>
      </c>
      <c r="H15" s="17"/>
      <c r="I15" s="14"/>
      <c r="J15" s="14"/>
      <c r="K15" s="14"/>
    </row>
    <row r="16" spans="1:11" x14ac:dyDescent="0.3">
      <c r="A16" s="14"/>
      <c r="B16" s="15" t="s">
        <v>133</v>
      </c>
      <c r="C16" s="16" t="s">
        <v>132</v>
      </c>
      <c r="D16" s="16">
        <v>12</v>
      </c>
      <c r="E16" s="17" t="s">
        <v>81</v>
      </c>
      <c r="F16" s="16">
        <v>1</v>
      </c>
      <c r="G16" s="25" t="s">
        <v>139</v>
      </c>
      <c r="H16" s="17"/>
      <c r="I16" s="14"/>
      <c r="J16" s="14"/>
      <c r="K16" s="14"/>
    </row>
    <row r="17" spans="1:11" x14ac:dyDescent="0.3">
      <c r="A17" s="14"/>
      <c r="B17" s="15" t="s">
        <v>133</v>
      </c>
      <c r="C17" s="16" t="s">
        <v>132</v>
      </c>
      <c r="D17" s="16">
        <v>13</v>
      </c>
      <c r="E17" s="17" t="s">
        <v>81</v>
      </c>
      <c r="F17" s="16">
        <v>6</v>
      </c>
      <c r="G17" s="25" t="s">
        <v>140</v>
      </c>
      <c r="H17" s="17"/>
      <c r="I17" s="14"/>
      <c r="J17" s="14"/>
      <c r="K17" s="14"/>
    </row>
    <row r="18" spans="1:11" x14ac:dyDescent="0.3">
      <c r="A18" s="14"/>
      <c r="B18" s="15" t="s">
        <v>133</v>
      </c>
      <c r="C18" s="16" t="s">
        <v>132</v>
      </c>
      <c r="D18" s="16">
        <v>14</v>
      </c>
      <c r="E18" s="17" t="s">
        <v>81</v>
      </c>
      <c r="F18" s="16">
        <v>13</v>
      </c>
      <c r="G18" s="25" t="s">
        <v>134</v>
      </c>
      <c r="H18" s="17"/>
      <c r="I18" s="14"/>
      <c r="J18" s="14"/>
      <c r="K18" s="14"/>
    </row>
    <row r="19" spans="1:11" x14ac:dyDescent="0.3">
      <c r="A19" s="14"/>
      <c r="B19" s="15" t="s">
        <v>133</v>
      </c>
      <c r="C19" s="16" t="s">
        <v>132</v>
      </c>
      <c r="D19" s="16">
        <v>15</v>
      </c>
      <c r="E19" s="17" t="s">
        <v>81</v>
      </c>
      <c r="F19" s="16">
        <v>1</v>
      </c>
      <c r="G19" s="25" t="s">
        <v>141</v>
      </c>
      <c r="H19" s="17"/>
      <c r="I19" s="14"/>
      <c r="J19" s="14"/>
      <c r="K19" s="14"/>
    </row>
    <row r="20" spans="1:11" x14ac:dyDescent="0.3">
      <c r="A20" s="14"/>
      <c r="B20" s="15" t="s">
        <v>133</v>
      </c>
      <c r="C20" s="16" t="s">
        <v>132</v>
      </c>
      <c r="D20" s="16">
        <v>16</v>
      </c>
      <c r="E20" s="17" t="s">
        <v>81</v>
      </c>
      <c r="F20" s="16">
        <v>1</v>
      </c>
      <c r="G20" s="25" t="s">
        <v>142</v>
      </c>
      <c r="H20" s="17"/>
      <c r="I20" s="14"/>
      <c r="J20" s="14"/>
      <c r="K20" s="14"/>
    </row>
    <row r="21" spans="1:11" x14ac:dyDescent="0.3">
      <c r="A21" s="14"/>
      <c r="B21" s="15" t="s">
        <v>133</v>
      </c>
      <c r="C21" s="16" t="s">
        <v>132</v>
      </c>
      <c r="D21" s="16">
        <v>17</v>
      </c>
      <c r="E21" s="17" t="s">
        <v>81</v>
      </c>
      <c r="F21" s="16">
        <v>2</v>
      </c>
      <c r="G21" s="25" t="s">
        <v>143</v>
      </c>
      <c r="H21" s="17"/>
      <c r="I21" s="14"/>
      <c r="J21" s="14"/>
      <c r="K21" s="14"/>
    </row>
    <row r="22" spans="1:11" x14ac:dyDescent="0.3">
      <c r="A22" s="14"/>
      <c r="B22" s="15" t="s">
        <v>133</v>
      </c>
      <c r="C22" s="16" t="s">
        <v>132</v>
      </c>
      <c r="D22" s="16">
        <v>18</v>
      </c>
      <c r="E22" s="17" t="s">
        <v>81</v>
      </c>
      <c r="F22" s="16">
        <v>1</v>
      </c>
      <c r="G22" s="25" t="s">
        <v>144</v>
      </c>
      <c r="H22" s="17"/>
      <c r="I22" s="14"/>
      <c r="J22" s="14"/>
      <c r="K22" s="14"/>
    </row>
    <row r="23" spans="1:11" x14ac:dyDescent="0.3">
      <c r="A23" s="14"/>
      <c r="B23" s="15" t="s">
        <v>133</v>
      </c>
      <c r="C23" s="16" t="s">
        <v>132</v>
      </c>
      <c r="D23" s="16">
        <v>19</v>
      </c>
      <c r="E23" s="17" t="s">
        <v>81</v>
      </c>
      <c r="F23" s="16">
        <v>1</v>
      </c>
      <c r="G23" s="25" t="s">
        <v>145</v>
      </c>
      <c r="H23" s="17"/>
      <c r="I23" s="14"/>
      <c r="J23" s="14"/>
      <c r="K23" s="14"/>
    </row>
    <row r="24" spans="1:11" x14ac:dyDescent="0.3">
      <c r="A24" s="14"/>
      <c r="B24" s="15" t="s">
        <v>133</v>
      </c>
      <c r="C24" s="16" t="s">
        <v>132</v>
      </c>
      <c r="D24" s="16">
        <v>20</v>
      </c>
      <c r="E24" s="17" t="s">
        <v>81</v>
      </c>
      <c r="F24" s="16">
        <v>1</v>
      </c>
      <c r="G24" s="25" t="s">
        <v>146</v>
      </c>
      <c r="H24" s="17"/>
      <c r="I24" s="14"/>
      <c r="J24" s="14"/>
      <c r="K24" s="14"/>
    </row>
    <row r="25" spans="1:11" x14ac:dyDescent="0.3">
      <c r="A25" s="14"/>
      <c r="B25" s="15" t="s">
        <v>133</v>
      </c>
      <c r="C25" s="16" t="s">
        <v>132</v>
      </c>
      <c r="D25" s="16">
        <v>21</v>
      </c>
      <c r="E25" s="17" t="s">
        <v>81</v>
      </c>
      <c r="F25" s="16">
        <v>1</v>
      </c>
      <c r="G25" s="25" t="s">
        <v>147</v>
      </c>
      <c r="H25" s="17"/>
      <c r="I25" s="14"/>
      <c r="J25" s="14"/>
      <c r="K25" s="14"/>
    </row>
    <row r="26" spans="1:11" x14ac:dyDescent="0.3">
      <c r="A26" s="14"/>
      <c r="B26" s="15" t="s">
        <v>133</v>
      </c>
      <c r="C26" s="16" t="s">
        <v>129</v>
      </c>
      <c r="D26" s="16">
        <v>22</v>
      </c>
      <c r="E26" s="17" t="s">
        <v>90</v>
      </c>
      <c r="F26" s="16">
        <v>2</v>
      </c>
      <c r="G26" s="25" t="s">
        <v>148</v>
      </c>
      <c r="H26" s="17"/>
      <c r="I26" s="14"/>
      <c r="J26" s="14"/>
      <c r="K26" s="14"/>
    </row>
    <row r="27" spans="1:11" x14ac:dyDescent="0.3">
      <c r="A27" s="14"/>
      <c r="B27" s="15" t="s">
        <v>133</v>
      </c>
      <c r="C27" s="16" t="s">
        <v>129</v>
      </c>
      <c r="D27" s="16">
        <v>23</v>
      </c>
      <c r="E27" s="17" t="s">
        <v>90</v>
      </c>
      <c r="F27" s="16">
        <v>2</v>
      </c>
      <c r="G27" s="25" t="s">
        <v>149</v>
      </c>
      <c r="H27" s="17"/>
      <c r="I27" s="14"/>
      <c r="J27" s="14"/>
      <c r="K27" s="14"/>
    </row>
    <row r="28" spans="1:11" x14ac:dyDescent="0.3">
      <c r="A28" s="14"/>
      <c r="B28" s="15">
        <v>1245685</v>
      </c>
      <c r="C28" s="16"/>
      <c r="D28" s="16"/>
      <c r="E28" s="17" t="s">
        <v>86</v>
      </c>
      <c r="F28" s="16">
        <v>1</v>
      </c>
      <c r="G28" s="25" t="s">
        <v>150</v>
      </c>
      <c r="H28" s="17"/>
      <c r="I28" s="14"/>
      <c r="J28" s="14"/>
      <c r="K28" s="14"/>
    </row>
    <row r="29" spans="1:11" x14ac:dyDescent="0.3">
      <c r="A29" s="14"/>
      <c r="B29" s="15">
        <v>1245686</v>
      </c>
      <c r="C29" s="16"/>
      <c r="D29" s="16"/>
      <c r="E29" s="17" t="s">
        <v>86</v>
      </c>
      <c r="F29" s="16">
        <v>1</v>
      </c>
      <c r="G29" s="25" t="s">
        <v>151</v>
      </c>
      <c r="H29" s="17"/>
      <c r="I29" s="14"/>
      <c r="J29" s="14"/>
      <c r="K29" s="14"/>
    </row>
    <row r="30" spans="1:11" x14ac:dyDescent="0.3">
      <c r="A30" s="14"/>
      <c r="B30" s="15">
        <v>1289502</v>
      </c>
      <c r="C30" s="16"/>
      <c r="D30" s="16"/>
      <c r="E30" s="17" t="s">
        <v>86</v>
      </c>
      <c r="F30" s="16">
        <v>1</v>
      </c>
      <c r="G30" s="25" t="s">
        <v>152</v>
      </c>
      <c r="H30" s="17"/>
      <c r="I30" s="14"/>
      <c r="J30" s="14"/>
      <c r="K30" s="14"/>
    </row>
    <row r="31" spans="1:11" x14ac:dyDescent="0.3">
      <c r="A31" s="14"/>
      <c r="B31" s="15">
        <v>1289503</v>
      </c>
      <c r="C31" s="16"/>
      <c r="D31" s="16"/>
      <c r="E31" s="17" t="s">
        <v>86</v>
      </c>
      <c r="F31" s="16">
        <v>1</v>
      </c>
      <c r="G31" s="25" t="s">
        <v>153</v>
      </c>
      <c r="H31" s="17"/>
      <c r="I31" s="14"/>
      <c r="J31" s="14"/>
      <c r="K31" s="14"/>
    </row>
    <row r="32" spans="1:11" x14ac:dyDescent="0.3">
      <c r="A32" s="14"/>
      <c r="B32" s="15">
        <v>1245684</v>
      </c>
      <c r="C32" s="16"/>
      <c r="D32" s="16"/>
      <c r="E32" s="17" t="s">
        <v>86</v>
      </c>
      <c r="F32" s="16">
        <v>3</v>
      </c>
      <c r="G32" s="25" t="s">
        <v>154</v>
      </c>
      <c r="H32" s="17"/>
      <c r="I32" s="14"/>
      <c r="J32" s="14"/>
      <c r="K32" s="14"/>
    </row>
    <row r="33" spans="1:11" x14ac:dyDescent="0.3">
      <c r="A33" s="14"/>
      <c r="B33" s="15">
        <v>12456824</v>
      </c>
      <c r="C33" s="16"/>
      <c r="D33" s="16"/>
      <c r="E33" s="17" t="s">
        <v>88</v>
      </c>
      <c r="F33" s="16">
        <v>1</v>
      </c>
      <c r="G33" s="25">
        <v>30.625</v>
      </c>
      <c r="H33" s="17"/>
      <c r="I33" s="14"/>
      <c r="J33" s="14"/>
      <c r="K33" s="14"/>
    </row>
    <row r="34" spans="1:11" x14ac:dyDescent="0.3">
      <c r="A34" s="14"/>
      <c r="B34" s="15">
        <v>1245682</v>
      </c>
      <c r="C34" s="16"/>
      <c r="D34" s="16"/>
      <c r="E34" s="17" t="s">
        <v>88</v>
      </c>
      <c r="F34" s="16">
        <v>1</v>
      </c>
      <c r="G34" s="25">
        <v>478.5</v>
      </c>
      <c r="H34" s="17"/>
      <c r="I34" s="14"/>
      <c r="J34" s="14"/>
      <c r="K34" s="14"/>
    </row>
    <row r="35" spans="1:11" x14ac:dyDescent="0.3">
      <c r="A35" s="14"/>
      <c r="B35" s="15">
        <v>1245683</v>
      </c>
      <c r="C35" s="16"/>
      <c r="D35" s="16"/>
      <c r="E35" s="17" t="s">
        <v>88</v>
      </c>
      <c r="F35" s="16">
        <v>1</v>
      </c>
      <c r="G35" s="25" t="s">
        <v>154</v>
      </c>
      <c r="H35" s="17"/>
      <c r="I35" s="14"/>
      <c r="J35" s="14"/>
      <c r="K35" s="14"/>
    </row>
    <row r="36" spans="1:11" x14ac:dyDescent="0.3">
      <c r="A36" s="14"/>
      <c r="B36" s="15">
        <v>1245665</v>
      </c>
      <c r="C36" s="16"/>
      <c r="D36" s="16"/>
      <c r="E36" s="17" t="s">
        <v>88</v>
      </c>
      <c r="F36" s="16">
        <v>2</v>
      </c>
      <c r="G36" s="25" t="s">
        <v>154</v>
      </c>
      <c r="H36" s="17"/>
      <c r="I36" s="14"/>
      <c r="J36" s="14"/>
      <c r="K36" s="14"/>
    </row>
    <row r="37" spans="1:11" x14ac:dyDescent="0.3">
      <c r="A37" s="14"/>
      <c r="B37" s="15">
        <v>1245666</v>
      </c>
      <c r="C37" s="16"/>
      <c r="D37" s="16"/>
      <c r="E37" s="17" t="s">
        <v>88</v>
      </c>
      <c r="F37" s="16">
        <v>2</v>
      </c>
      <c r="G37" s="25" t="s">
        <v>155</v>
      </c>
      <c r="H37" s="17"/>
      <c r="I37" s="14"/>
      <c r="J37" s="14"/>
      <c r="K37" s="14"/>
    </row>
    <row r="38" spans="1:11" x14ac:dyDescent="0.3">
      <c r="A38" s="14"/>
      <c r="B38" s="15">
        <v>1245667</v>
      </c>
      <c r="C38" s="16"/>
      <c r="D38" s="16"/>
      <c r="E38" s="17" t="s">
        <v>88</v>
      </c>
      <c r="F38" s="16">
        <v>2</v>
      </c>
      <c r="G38" s="25" t="s">
        <v>156</v>
      </c>
      <c r="H38" s="17"/>
      <c r="I38" s="14"/>
      <c r="J38" s="14"/>
      <c r="K38" s="14"/>
    </row>
    <row r="39" spans="1:11" x14ac:dyDescent="0.3">
      <c r="A39" s="14"/>
      <c r="B39" s="15">
        <v>1289504</v>
      </c>
      <c r="C39" s="16"/>
      <c r="D39" s="16"/>
      <c r="E39" s="17" t="s">
        <v>88</v>
      </c>
      <c r="F39" s="16">
        <v>4</v>
      </c>
      <c r="G39" s="25" t="s">
        <v>154</v>
      </c>
      <c r="H39" s="17"/>
      <c r="I39" s="14"/>
      <c r="J39" s="14"/>
      <c r="K39" s="14"/>
    </row>
    <row r="40" spans="1:11" x14ac:dyDescent="0.3">
      <c r="A40" s="14"/>
      <c r="B40" s="15">
        <v>1289505</v>
      </c>
      <c r="C40" s="16"/>
      <c r="D40" s="16"/>
      <c r="E40" s="17" t="s">
        <v>88</v>
      </c>
      <c r="F40" s="16">
        <v>4</v>
      </c>
      <c r="G40" s="25" t="s">
        <v>157</v>
      </c>
      <c r="H40" s="17"/>
      <c r="I40" s="14"/>
      <c r="J40" s="14"/>
      <c r="K40" s="14"/>
    </row>
    <row r="41" spans="1:11" x14ac:dyDescent="0.3">
      <c r="A41" s="14"/>
      <c r="B41" s="15">
        <v>1289506</v>
      </c>
      <c r="C41" s="16"/>
      <c r="D41" s="16"/>
      <c r="E41" s="17" t="s">
        <v>88</v>
      </c>
      <c r="F41" s="16">
        <v>1</v>
      </c>
      <c r="G41" s="25" t="s">
        <v>158</v>
      </c>
      <c r="H41" s="18"/>
      <c r="I41" s="14"/>
      <c r="J41" s="14"/>
      <c r="K41" s="14"/>
    </row>
  </sheetData>
  <dataConsolidate/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9" sqref="F19"/>
    </sheetView>
  </sheetViews>
  <sheetFormatPr defaultColWidth="8.88671875" defaultRowHeight="10.199999999999999" x14ac:dyDescent="0.2"/>
  <cols>
    <col min="1" max="1" width="13" style="12" customWidth="1"/>
    <col min="2" max="2" width="10.6640625" style="12" bestFit="1" customWidth="1"/>
    <col min="3" max="3" width="9.6640625" style="12" bestFit="1" customWidth="1"/>
    <col min="4" max="4" width="7.44140625" style="12" bestFit="1" customWidth="1"/>
    <col min="5" max="5" width="4.44140625" style="12" bestFit="1" customWidth="1"/>
    <col min="6" max="6" width="47.88671875" style="12" bestFit="1" customWidth="1"/>
    <col min="7" max="16384" width="8.88671875" style="12"/>
  </cols>
  <sheetData>
    <row r="1" spans="1:6" x14ac:dyDescent="0.2">
      <c r="A1" s="12" t="s">
        <v>68</v>
      </c>
      <c r="B1" s="12" t="s">
        <v>69</v>
      </c>
      <c r="C1" s="12" t="s">
        <v>70</v>
      </c>
      <c r="D1" s="12" t="s">
        <v>71</v>
      </c>
      <c r="E1" s="12" t="s">
        <v>72</v>
      </c>
      <c r="F1" s="12" t="s">
        <v>73</v>
      </c>
    </row>
    <row r="2" spans="1:6" x14ac:dyDescent="0.2">
      <c r="A2" s="12" t="s">
        <v>60</v>
      </c>
      <c r="B2" s="12">
        <v>480</v>
      </c>
      <c r="C2" s="12" t="s">
        <v>16</v>
      </c>
      <c r="D2" s="12">
        <f>B2/12</f>
        <v>40</v>
      </c>
      <c r="E2" s="12" t="s">
        <v>18</v>
      </c>
      <c r="F2" s="12" t="s">
        <v>17</v>
      </c>
    </row>
    <row r="3" spans="1:6" x14ac:dyDescent="0.2">
      <c r="A3" s="12" t="s">
        <v>82</v>
      </c>
      <c r="B3" s="12">
        <v>600</v>
      </c>
      <c r="C3" s="12" t="s">
        <v>19</v>
      </c>
      <c r="D3" s="12">
        <f t="shared" ref="D3:D41" si="0">B3/12</f>
        <v>50</v>
      </c>
      <c r="E3" s="12" t="s">
        <v>18</v>
      </c>
      <c r="F3" s="12" t="s">
        <v>20</v>
      </c>
    </row>
    <row r="4" spans="1:6" x14ac:dyDescent="0.2">
      <c r="A4" s="12" t="s">
        <v>83</v>
      </c>
      <c r="B4" s="12">
        <v>480</v>
      </c>
      <c r="C4" s="12" t="s">
        <v>21</v>
      </c>
      <c r="D4" s="12">
        <f t="shared" si="0"/>
        <v>40</v>
      </c>
      <c r="E4" s="12" t="s">
        <v>18</v>
      </c>
      <c r="F4" s="12" t="s">
        <v>22</v>
      </c>
    </row>
    <row r="5" spans="1:6" x14ac:dyDescent="0.2">
      <c r="A5" s="12" t="s">
        <v>81</v>
      </c>
      <c r="B5" s="12">
        <v>764</v>
      </c>
      <c r="C5" s="12" t="s">
        <v>111</v>
      </c>
      <c r="D5" s="21">
        <f t="shared" si="0"/>
        <v>63.666666666666664</v>
      </c>
      <c r="E5" s="12" t="s">
        <v>18</v>
      </c>
      <c r="F5" s="12" t="s">
        <v>24</v>
      </c>
    </row>
    <row r="6" spans="1:6" x14ac:dyDescent="0.2">
      <c r="A6" s="12" t="s">
        <v>81</v>
      </c>
      <c r="B6" s="12">
        <v>728</v>
      </c>
      <c r="C6" s="12" t="s">
        <v>112</v>
      </c>
      <c r="D6" s="21">
        <f t="shared" si="0"/>
        <v>60.666666666666664</v>
      </c>
      <c r="E6" s="12" t="s">
        <v>18</v>
      </c>
      <c r="F6" s="12" t="s">
        <v>24</v>
      </c>
    </row>
    <row r="7" spans="1:6" x14ac:dyDescent="0.2">
      <c r="A7" s="12" t="s">
        <v>81</v>
      </c>
      <c r="B7" s="12">
        <v>688</v>
      </c>
      <c r="C7" s="12" t="s">
        <v>113</v>
      </c>
      <c r="D7" s="21">
        <f t="shared" si="0"/>
        <v>57.333333333333336</v>
      </c>
      <c r="E7" s="12" t="s">
        <v>18</v>
      </c>
      <c r="F7" s="12" t="s">
        <v>24</v>
      </c>
    </row>
    <row r="8" spans="1:6" x14ac:dyDescent="0.2">
      <c r="A8" s="12" t="s">
        <v>81</v>
      </c>
      <c r="B8" s="12">
        <v>600</v>
      </c>
      <c r="C8" s="12" t="s">
        <v>23</v>
      </c>
      <c r="D8" s="12">
        <f t="shared" si="0"/>
        <v>50</v>
      </c>
      <c r="E8" s="12" t="s">
        <v>18</v>
      </c>
      <c r="F8" s="12" t="s">
        <v>24</v>
      </c>
    </row>
    <row r="9" spans="1:6" x14ac:dyDescent="0.2">
      <c r="A9" s="12" t="s">
        <v>81</v>
      </c>
      <c r="B9" s="12">
        <v>604</v>
      </c>
      <c r="C9" s="12" t="s">
        <v>114</v>
      </c>
      <c r="D9" s="21">
        <f t="shared" si="0"/>
        <v>50.333333333333336</v>
      </c>
      <c r="E9" s="12" t="s">
        <v>18</v>
      </c>
      <c r="F9" s="12" t="s">
        <v>24</v>
      </c>
    </row>
    <row r="10" spans="1:6" x14ac:dyDescent="0.2">
      <c r="A10" s="12" t="s">
        <v>81</v>
      </c>
      <c r="B10" s="12">
        <v>340</v>
      </c>
      <c r="C10" s="12" t="s">
        <v>115</v>
      </c>
      <c r="D10" s="21">
        <f t="shared" si="0"/>
        <v>28.333333333333332</v>
      </c>
      <c r="E10" s="12" t="s">
        <v>18</v>
      </c>
      <c r="F10" s="12" t="s">
        <v>24</v>
      </c>
    </row>
    <row r="11" spans="1:6" x14ac:dyDescent="0.2">
      <c r="A11" s="12" t="s">
        <v>81</v>
      </c>
      <c r="B11" s="12">
        <v>332</v>
      </c>
      <c r="C11" s="12" t="s">
        <v>116</v>
      </c>
      <c r="D11" s="21">
        <f t="shared" si="0"/>
        <v>27.666666666666668</v>
      </c>
      <c r="E11" s="12" t="s">
        <v>18</v>
      </c>
      <c r="F11" s="12" t="s">
        <v>24</v>
      </c>
    </row>
    <row r="12" spans="1:6" x14ac:dyDescent="0.2">
      <c r="A12" s="12" t="s">
        <v>81</v>
      </c>
      <c r="B12" s="12">
        <v>308</v>
      </c>
      <c r="C12" s="12" t="s">
        <v>117</v>
      </c>
      <c r="D12" s="21">
        <f t="shared" si="0"/>
        <v>25.666666666666668</v>
      </c>
      <c r="E12" s="12" t="s">
        <v>18</v>
      </c>
      <c r="F12" s="12" t="s">
        <v>24</v>
      </c>
    </row>
    <row r="13" spans="1:6" x14ac:dyDescent="0.2">
      <c r="A13" s="12" t="s">
        <v>80</v>
      </c>
      <c r="B13" s="12">
        <v>720</v>
      </c>
      <c r="C13" s="12" t="s">
        <v>14</v>
      </c>
      <c r="D13" s="12">
        <f t="shared" si="0"/>
        <v>60</v>
      </c>
      <c r="E13" s="12" t="s">
        <v>18</v>
      </c>
      <c r="F13" s="12" t="s">
        <v>25</v>
      </c>
    </row>
    <row r="14" spans="1:6" x14ac:dyDescent="0.2">
      <c r="A14" s="12" t="s">
        <v>80</v>
      </c>
      <c r="B14" s="12">
        <v>700</v>
      </c>
      <c r="C14" s="12" t="s">
        <v>118</v>
      </c>
      <c r="D14" s="21">
        <f t="shared" si="0"/>
        <v>58.333333333333336</v>
      </c>
      <c r="E14" s="12" t="s">
        <v>18</v>
      </c>
      <c r="F14" s="12" t="s">
        <v>25</v>
      </c>
    </row>
    <row r="15" spans="1:6" x14ac:dyDescent="0.2">
      <c r="A15" s="12" t="s">
        <v>61</v>
      </c>
      <c r="B15" s="12">
        <v>804</v>
      </c>
      <c r="C15" s="12" t="s">
        <v>119</v>
      </c>
      <c r="D15" s="12">
        <f t="shared" si="0"/>
        <v>67</v>
      </c>
      <c r="E15" s="12" t="s">
        <v>18</v>
      </c>
      <c r="F15" s="12" t="s">
        <v>27</v>
      </c>
    </row>
    <row r="16" spans="1:6" x14ac:dyDescent="0.2">
      <c r="A16" s="12" t="s">
        <v>61</v>
      </c>
      <c r="B16" s="12">
        <v>756</v>
      </c>
      <c r="C16" s="12" t="s">
        <v>120</v>
      </c>
      <c r="D16" s="12">
        <f t="shared" si="0"/>
        <v>63</v>
      </c>
      <c r="E16" s="12" t="s">
        <v>18</v>
      </c>
      <c r="F16" s="12" t="s">
        <v>27</v>
      </c>
    </row>
    <row r="17" spans="1:6" x14ac:dyDescent="0.2">
      <c r="A17" s="12" t="s">
        <v>61</v>
      </c>
      <c r="B17" s="12">
        <v>732</v>
      </c>
      <c r="C17" s="12" t="s">
        <v>121</v>
      </c>
      <c r="D17" s="12">
        <f t="shared" si="0"/>
        <v>61</v>
      </c>
      <c r="E17" s="12" t="s">
        <v>18</v>
      </c>
      <c r="F17" s="12" t="s">
        <v>27</v>
      </c>
    </row>
    <row r="18" spans="1:6" x14ac:dyDescent="0.2">
      <c r="A18" s="12" t="s">
        <v>61</v>
      </c>
      <c r="B18" s="12">
        <v>720</v>
      </c>
      <c r="C18" s="12" t="s">
        <v>26</v>
      </c>
      <c r="D18" s="12">
        <f t="shared" si="0"/>
        <v>60</v>
      </c>
      <c r="E18" s="12" t="s">
        <v>18</v>
      </c>
      <c r="F18" s="12" t="s">
        <v>27</v>
      </c>
    </row>
    <row r="19" spans="1:6" x14ac:dyDescent="0.2">
      <c r="A19" s="12" t="s">
        <v>61</v>
      </c>
      <c r="B19" s="12">
        <v>692</v>
      </c>
      <c r="C19" s="12" t="s">
        <v>122</v>
      </c>
      <c r="D19" s="21">
        <f t="shared" si="0"/>
        <v>57.666666666666664</v>
      </c>
      <c r="E19" s="12" t="s">
        <v>18</v>
      </c>
      <c r="F19" s="12" t="s">
        <v>27</v>
      </c>
    </row>
    <row r="20" spans="1:6" x14ac:dyDescent="0.2">
      <c r="A20" s="12" t="s">
        <v>61</v>
      </c>
      <c r="B20" s="12">
        <v>672</v>
      </c>
      <c r="C20" s="12" t="s">
        <v>123</v>
      </c>
      <c r="D20" s="12">
        <f t="shared" si="0"/>
        <v>56</v>
      </c>
      <c r="E20" s="12" t="s">
        <v>18</v>
      </c>
      <c r="F20" s="12" t="s">
        <v>27</v>
      </c>
    </row>
    <row r="21" spans="1:6" x14ac:dyDescent="0.2">
      <c r="A21" s="12" t="s">
        <v>61</v>
      </c>
      <c r="B21" s="12">
        <v>580</v>
      </c>
      <c r="C21" s="12" t="s">
        <v>124</v>
      </c>
      <c r="D21" s="21">
        <f t="shared" si="0"/>
        <v>48.333333333333336</v>
      </c>
      <c r="E21" s="12" t="s">
        <v>18</v>
      </c>
      <c r="F21" s="12" t="s">
        <v>27</v>
      </c>
    </row>
    <row r="22" spans="1:6" x14ac:dyDescent="0.2">
      <c r="A22" s="12" t="s">
        <v>61</v>
      </c>
      <c r="B22" s="12">
        <v>568</v>
      </c>
      <c r="C22" s="12" t="s">
        <v>125</v>
      </c>
      <c r="D22" s="21">
        <f t="shared" si="0"/>
        <v>47.333333333333336</v>
      </c>
      <c r="E22" s="12" t="s">
        <v>18</v>
      </c>
      <c r="F22" s="12" t="s">
        <v>27</v>
      </c>
    </row>
    <row r="23" spans="1:6" x14ac:dyDescent="0.2">
      <c r="A23" s="12" t="s">
        <v>61</v>
      </c>
      <c r="B23" s="12">
        <v>460</v>
      </c>
      <c r="C23" s="12" t="s">
        <v>126</v>
      </c>
      <c r="D23" s="21">
        <f t="shared" si="0"/>
        <v>38.333333333333336</v>
      </c>
      <c r="E23" s="12" t="s">
        <v>18</v>
      </c>
      <c r="F23" s="12" t="s">
        <v>27</v>
      </c>
    </row>
    <row r="24" spans="1:6" x14ac:dyDescent="0.2">
      <c r="A24" s="12" t="s">
        <v>61</v>
      </c>
      <c r="B24" s="12">
        <v>440</v>
      </c>
      <c r="C24" s="12" t="s">
        <v>127</v>
      </c>
      <c r="D24" s="21">
        <f t="shared" si="0"/>
        <v>36.666666666666664</v>
      </c>
      <c r="E24" s="12" t="s">
        <v>18</v>
      </c>
      <c r="F24" s="12" t="s">
        <v>27</v>
      </c>
    </row>
    <row r="25" spans="1:6" x14ac:dyDescent="0.2">
      <c r="A25" s="12" t="s">
        <v>61</v>
      </c>
      <c r="B25" s="12">
        <v>424</v>
      </c>
      <c r="C25" s="12" t="s">
        <v>128</v>
      </c>
      <c r="D25" s="21">
        <f t="shared" si="0"/>
        <v>35.333333333333336</v>
      </c>
      <c r="E25" s="12" t="s">
        <v>18</v>
      </c>
      <c r="F25" s="12" t="s">
        <v>27</v>
      </c>
    </row>
    <row r="26" spans="1:6" x14ac:dyDescent="0.2">
      <c r="A26" s="12" t="s">
        <v>62</v>
      </c>
      <c r="B26" s="12">
        <v>480</v>
      </c>
      <c r="C26" s="12" t="s">
        <v>28</v>
      </c>
      <c r="D26" s="12">
        <f t="shared" si="0"/>
        <v>40</v>
      </c>
      <c r="E26" s="12" t="s">
        <v>18</v>
      </c>
      <c r="F26" s="12" t="s">
        <v>29</v>
      </c>
    </row>
    <row r="27" spans="1:6" x14ac:dyDescent="0.2">
      <c r="A27" s="12" t="s">
        <v>84</v>
      </c>
      <c r="B27" s="12">
        <v>480</v>
      </c>
      <c r="C27" s="12" t="s">
        <v>30</v>
      </c>
      <c r="D27" s="12">
        <f t="shared" si="0"/>
        <v>40</v>
      </c>
      <c r="E27" s="12" t="s">
        <v>18</v>
      </c>
      <c r="F27" s="12" t="s">
        <v>31</v>
      </c>
    </row>
    <row r="28" spans="1:6" x14ac:dyDescent="0.2">
      <c r="A28" s="12" t="s">
        <v>63</v>
      </c>
      <c r="B28" s="12">
        <v>480</v>
      </c>
      <c r="C28" s="12" t="s">
        <v>32</v>
      </c>
      <c r="D28" s="12">
        <f t="shared" si="0"/>
        <v>40</v>
      </c>
      <c r="E28" s="12" t="s">
        <v>18</v>
      </c>
      <c r="F28" s="12" t="s">
        <v>33</v>
      </c>
    </row>
    <row r="29" spans="1:6" x14ac:dyDescent="0.2">
      <c r="A29" s="12" t="s">
        <v>64</v>
      </c>
      <c r="B29" s="12">
        <v>600</v>
      </c>
      <c r="C29" s="12" t="s">
        <v>15</v>
      </c>
      <c r="D29" s="12">
        <f t="shared" si="0"/>
        <v>50</v>
      </c>
      <c r="E29" s="12" t="s">
        <v>18</v>
      </c>
      <c r="F29" s="12" t="s">
        <v>34</v>
      </c>
    </row>
    <row r="30" spans="1:6" x14ac:dyDescent="0.2">
      <c r="A30" s="12" t="s">
        <v>79</v>
      </c>
      <c r="B30" s="12">
        <v>480</v>
      </c>
      <c r="C30" s="12" t="s">
        <v>35</v>
      </c>
      <c r="D30" s="12">
        <f t="shared" si="0"/>
        <v>40</v>
      </c>
      <c r="E30" s="12" t="s">
        <v>18</v>
      </c>
      <c r="F30" s="12" t="s">
        <v>36</v>
      </c>
    </row>
    <row r="31" spans="1:6" x14ac:dyDescent="0.2">
      <c r="A31" s="12" t="s">
        <v>65</v>
      </c>
      <c r="B31" s="12">
        <v>480</v>
      </c>
      <c r="C31" s="12" t="s">
        <v>37</v>
      </c>
      <c r="D31" s="12">
        <f t="shared" si="0"/>
        <v>40</v>
      </c>
      <c r="E31" s="12" t="s">
        <v>18</v>
      </c>
      <c r="F31" s="12" t="s">
        <v>38</v>
      </c>
    </row>
    <row r="32" spans="1:6" x14ac:dyDescent="0.2">
      <c r="A32" s="12" t="s">
        <v>66</v>
      </c>
      <c r="B32" s="12">
        <v>480</v>
      </c>
      <c r="C32" s="12" t="s">
        <v>39</v>
      </c>
      <c r="D32" s="12">
        <f t="shared" si="0"/>
        <v>40</v>
      </c>
      <c r="E32" s="12" t="s">
        <v>18</v>
      </c>
      <c r="F32" s="12" t="s">
        <v>40</v>
      </c>
    </row>
    <row r="33" spans="1:6" x14ac:dyDescent="0.2">
      <c r="A33" s="12" t="s">
        <v>85</v>
      </c>
      <c r="B33" s="12">
        <v>720</v>
      </c>
      <c r="C33" s="12" t="s">
        <v>41</v>
      </c>
      <c r="D33" s="12">
        <f t="shared" si="0"/>
        <v>60</v>
      </c>
      <c r="E33" s="12" t="s">
        <v>18</v>
      </c>
      <c r="F33" s="12" t="s">
        <v>42</v>
      </c>
    </row>
    <row r="34" spans="1:6" x14ac:dyDescent="0.2">
      <c r="A34" s="12" t="s">
        <v>67</v>
      </c>
      <c r="B34" s="12">
        <v>720</v>
      </c>
      <c r="C34" s="12" t="s">
        <v>43</v>
      </c>
      <c r="D34" s="12">
        <f t="shared" si="0"/>
        <v>60</v>
      </c>
      <c r="E34" s="12" t="s">
        <v>18</v>
      </c>
      <c r="F34" s="12" t="s">
        <v>44</v>
      </c>
    </row>
    <row r="35" spans="1:6" x14ac:dyDescent="0.2">
      <c r="A35" s="12" t="s">
        <v>78</v>
      </c>
      <c r="B35" s="12">
        <v>240</v>
      </c>
      <c r="C35" s="12" t="s">
        <v>45</v>
      </c>
      <c r="D35" s="12">
        <f t="shared" si="0"/>
        <v>20</v>
      </c>
      <c r="E35" s="12" t="s">
        <v>18</v>
      </c>
      <c r="F35" s="12" t="s">
        <v>46</v>
      </c>
    </row>
    <row r="36" spans="1:6" x14ac:dyDescent="0.2">
      <c r="A36" s="12" t="s">
        <v>77</v>
      </c>
      <c r="B36" s="12">
        <v>240</v>
      </c>
      <c r="C36" s="12" t="s">
        <v>47</v>
      </c>
      <c r="D36" s="12">
        <f t="shared" si="0"/>
        <v>20</v>
      </c>
      <c r="E36" s="12" t="s">
        <v>18</v>
      </c>
      <c r="F36" s="12" t="s">
        <v>48</v>
      </c>
    </row>
    <row r="37" spans="1:6" x14ac:dyDescent="0.2">
      <c r="A37" s="12" t="s">
        <v>91</v>
      </c>
      <c r="B37" s="12">
        <v>576</v>
      </c>
      <c r="C37" s="12" t="s">
        <v>49</v>
      </c>
      <c r="D37" s="12">
        <f t="shared" si="0"/>
        <v>48</v>
      </c>
      <c r="E37" s="12" t="s">
        <v>18</v>
      </c>
      <c r="F37" s="12" t="s">
        <v>50</v>
      </c>
    </row>
    <row r="38" spans="1:6" x14ac:dyDescent="0.2">
      <c r="A38" s="12" t="s">
        <v>86</v>
      </c>
      <c r="B38" s="12">
        <v>480</v>
      </c>
      <c r="C38" s="12" t="s">
        <v>51</v>
      </c>
      <c r="D38" s="12">
        <f t="shared" si="0"/>
        <v>40</v>
      </c>
      <c r="E38" s="12" t="s">
        <v>18</v>
      </c>
      <c r="F38" s="12" t="s">
        <v>52</v>
      </c>
    </row>
    <row r="39" spans="1:6" x14ac:dyDescent="0.2">
      <c r="A39" s="12" t="s">
        <v>88</v>
      </c>
      <c r="B39" s="12">
        <v>480</v>
      </c>
      <c r="C39" s="12" t="s">
        <v>53</v>
      </c>
      <c r="D39" s="12">
        <f t="shared" si="0"/>
        <v>40</v>
      </c>
      <c r="E39" s="12" t="s">
        <v>18</v>
      </c>
      <c r="F39" s="12" t="s">
        <v>54</v>
      </c>
    </row>
    <row r="40" spans="1:6" x14ac:dyDescent="0.2">
      <c r="A40" s="12" t="s">
        <v>87</v>
      </c>
      <c r="B40" s="12">
        <v>576</v>
      </c>
      <c r="C40" s="12" t="s">
        <v>55</v>
      </c>
      <c r="D40" s="12">
        <f t="shared" si="0"/>
        <v>48</v>
      </c>
      <c r="E40" s="12" t="s">
        <v>18</v>
      </c>
      <c r="F40" s="12" t="s">
        <v>56</v>
      </c>
    </row>
    <row r="41" spans="1:6" x14ac:dyDescent="0.2">
      <c r="A41" s="12" t="s">
        <v>89</v>
      </c>
      <c r="B41" s="12">
        <v>240</v>
      </c>
      <c r="C41" s="12" t="s">
        <v>57</v>
      </c>
      <c r="D41" s="12">
        <f t="shared" si="0"/>
        <v>20</v>
      </c>
      <c r="E41" s="12" t="s">
        <v>18</v>
      </c>
      <c r="F41" s="12" t="s">
        <v>92</v>
      </c>
    </row>
    <row r="42" spans="1:6" x14ac:dyDescent="0.2">
      <c r="A42" s="12" t="s">
        <v>90</v>
      </c>
      <c r="B42" s="12">
        <f t="shared" ref="B42" si="1">D42*12</f>
        <v>480</v>
      </c>
      <c r="C42" s="12" t="s">
        <v>58</v>
      </c>
      <c r="D42" s="12">
        <v>40</v>
      </c>
      <c r="E42" s="12" t="s">
        <v>18</v>
      </c>
      <c r="F42" s="12" t="s">
        <v>59</v>
      </c>
    </row>
    <row r="43" spans="1:6" x14ac:dyDescent="0.2">
      <c r="A43" s="12" t="s">
        <v>99</v>
      </c>
      <c r="B43" s="12">
        <f>D43*12</f>
        <v>240</v>
      </c>
      <c r="C43" s="12" t="s">
        <v>93</v>
      </c>
      <c r="D43" s="12">
        <v>20</v>
      </c>
      <c r="E43" s="12" t="s">
        <v>18</v>
      </c>
      <c r="F43" s="12" t="s">
        <v>94</v>
      </c>
    </row>
    <row r="44" spans="1:6" x14ac:dyDescent="0.2">
      <c r="A44" s="12" t="s">
        <v>100</v>
      </c>
      <c r="B44" s="12">
        <f t="shared" ref="B44:B46" si="2">D44*12</f>
        <v>240</v>
      </c>
      <c r="C44" s="12" t="s">
        <v>95</v>
      </c>
      <c r="D44" s="12">
        <v>20</v>
      </c>
      <c r="E44" s="12" t="s">
        <v>18</v>
      </c>
      <c r="F44" s="12" t="s">
        <v>96</v>
      </c>
    </row>
    <row r="45" spans="1:6" x14ac:dyDescent="0.2">
      <c r="A45" s="12" t="s">
        <v>101</v>
      </c>
      <c r="B45" s="12">
        <f t="shared" si="2"/>
        <v>240</v>
      </c>
      <c r="C45" s="12" t="s">
        <v>97</v>
      </c>
      <c r="D45" s="12">
        <v>20</v>
      </c>
      <c r="E45" s="12" t="s">
        <v>18</v>
      </c>
      <c r="F45" s="12" t="s">
        <v>98</v>
      </c>
    </row>
    <row r="46" spans="1:6" x14ac:dyDescent="0.2">
      <c r="A46" s="12" t="s">
        <v>103</v>
      </c>
      <c r="B46" s="12">
        <f t="shared" si="2"/>
        <v>240</v>
      </c>
      <c r="C46" s="12" t="s">
        <v>102</v>
      </c>
      <c r="D46" s="12">
        <v>20</v>
      </c>
      <c r="E46" s="12" t="s">
        <v>18</v>
      </c>
      <c r="F46" s="12" t="s">
        <v>104</v>
      </c>
    </row>
    <row r="47" spans="1:6" x14ac:dyDescent="0.2">
      <c r="A47" s="12" t="s">
        <v>105</v>
      </c>
      <c r="B47" s="12">
        <v>480</v>
      </c>
      <c r="C47" s="12" t="s">
        <v>106</v>
      </c>
      <c r="D47" s="12">
        <v>40</v>
      </c>
      <c r="E47" s="12" t="s">
        <v>18</v>
      </c>
      <c r="F47" s="12" t="s">
        <v>109</v>
      </c>
    </row>
    <row r="48" spans="1:6" x14ac:dyDescent="0.2">
      <c r="A48" s="12" t="s">
        <v>107</v>
      </c>
      <c r="B48" s="12">
        <v>480</v>
      </c>
      <c r="C48" s="12" t="s">
        <v>108</v>
      </c>
      <c r="D48" s="12">
        <v>40</v>
      </c>
      <c r="E48" s="12" t="s">
        <v>18</v>
      </c>
      <c r="F48" s="12" t="s">
        <v>110</v>
      </c>
    </row>
  </sheetData>
  <sheetProtection algorithmName="SHA-512" hashValue="kvgaLmFsh1XmWZlPhFWZDkHCqzjIghMloArubtnOPmDkMl+FfYTU/hn7zXLAb9u9utwdlp7a+bM7j9bOxPywGg==" saltValue="bJvmuLNd7lY4I9lKZmsrFw==" spinCount="100000" sheet="1" objects="1" scenarios="1"/>
  <dataConsolidate/>
  <phoneticPr fontId="5" type="noConversion"/>
  <conditionalFormatting sqref="C55:C60">
    <cfRule type="duplicateValues" dxfId="19" priority="4"/>
  </conditionalFormatting>
  <conditionalFormatting sqref="C88:C89 C47:C54 C100:C1048576">
    <cfRule type="duplicateValues" dxfId="18" priority="9"/>
  </conditionalFormatting>
  <conditionalFormatting sqref="C40:C45 C1:C36">
    <cfRule type="duplicateValues" dxfId="17" priority="3"/>
  </conditionalFormatting>
  <conditionalFormatting sqref="C37">
    <cfRule type="duplicateValues" dxfId="16" priority="2"/>
  </conditionalFormatting>
  <conditionalFormatting sqref="C38:C39">
    <cfRule type="duplicateValues" dxfId="15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DF0F2-5421-40EF-B36F-1992333598F0}">
  <sheetPr codeName="Sheet3"/>
  <dimension ref="A1:F11"/>
  <sheetViews>
    <sheetView workbookViewId="0"/>
  </sheetViews>
  <sheetFormatPr defaultRowHeight="14.4" x14ac:dyDescent="0.3"/>
  <cols>
    <col min="1" max="1" width="16.6640625" customWidth="1"/>
    <col min="2" max="2" width="21.21875" customWidth="1"/>
    <col min="4" max="4" width="23.88671875" customWidth="1"/>
    <col min="5" max="5" width="19.44140625" customWidth="1"/>
    <col min="6" max="6" width="16" customWidth="1"/>
  </cols>
  <sheetData>
    <row r="1" spans="1:6" x14ac:dyDescent="0.3">
      <c r="A1" t="s">
        <v>159</v>
      </c>
      <c r="B1" t="s">
        <v>204</v>
      </c>
      <c r="C1" t="s">
        <v>205</v>
      </c>
      <c r="D1" t="s">
        <v>206</v>
      </c>
      <c r="E1" t="s">
        <v>207</v>
      </c>
      <c r="F1" t="s">
        <v>208</v>
      </c>
    </row>
    <row r="2" spans="1:6" x14ac:dyDescent="0.3">
      <c r="A2" t="s">
        <v>80</v>
      </c>
      <c r="B2" t="s">
        <v>118</v>
      </c>
      <c r="C2">
        <v>3</v>
      </c>
      <c r="D2">
        <v>700</v>
      </c>
      <c r="E2">
        <v>58.33</v>
      </c>
      <c r="F2">
        <v>174.99</v>
      </c>
    </row>
    <row r="3" spans="1:6" x14ac:dyDescent="0.3">
      <c r="A3" t="s">
        <v>61</v>
      </c>
      <c r="B3" t="s">
        <v>119</v>
      </c>
      <c r="C3">
        <v>2</v>
      </c>
      <c r="D3">
        <v>804</v>
      </c>
      <c r="E3">
        <v>67</v>
      </c>
      <c r="F3">
        <v>134</v>
      </c>
    </row>
    <row r="4" spans="1:6" x14ac:dyDescent="0.3">
      <c r="A4" t="s">
        <v>81</v>
      </c>
      <c r="B4" t="s">
        <v>116</v>
      </c>
      <c r="C4">
        <v>1</v>
      </c>
      <c r="D4">
        <v>332</v>
      </c>
      <c r="E4">
        <v>27.67</v>
      </c>
      <c r="F4">
        <v>27.67</v>
      </c>
    </row>
    <row r="5" spans="1:6" x14ac:dyDescent="0.3">
      <c r="A5" t="s">
        <v>81</v>
      </c>
      <c r="B5" t="s">
        <v>114</v>
      </c>
      <c r="C5">
        <v>3</v>
      </c>
      <c r="D5">
        <v>604</v>
      </c>
      <c r="E5">
        <v>50.33</v>
      </c>
      <c r="F5">
        <v>150.99</v>
      </c>
    </row>
    <row r="6" spans="1:6" x14ac:dyDescent="0.3">
      <c r="A6" t="s">
        <v>81</v>
      </c>
      <c r="B6" t="s">
        <v>113</v>
      </c>
      <c r="C6">
        <v>1</v>
      </c>
      <c r="D6">
        <v>688</v>
      </c>
      <c r="E6">
        <v>57.33</v>
      </c>
      <c r="F6">
        <v>57.33</v>
      </c>
    </row>
    <row r="7" spans="1:6" x14ac:dyDescent="0.3">
      <c r="A7" t="s">
        <v>81</v>
      </c>
      <c r="B7" t="s">
        <v>112</v>
      </c>
      <c r="C7">
        <v>2</v>
      </c>
      <c r="D7">
        <v>728</v>
      </c>
      <c r="E7">
        <v>60.67</v>
      </c>
      <c r="F7">
        <v>121.34</v>
      </c>
    </row>
    <row r="8" spans="1:6" x14ac:dyDescent="0.3">
      <c r="A8" t="s">
        <v>81</v>
      </c>
      <c r="B8" t="s">
        <v>111</v>
      </c>
      <c r="C8">
        <v>1</v>
      </c>
      <c r="D8">
        <v>764</v>
      </c>
      <c r="E8">
        <v>63.67</v>
      </c>
      <c r="F8">
        <v>63.67</v>
      </c>
    </row>
    <row r="9" spans="1:6" x14ac:dyDescent="0.3">
      <c r="A9" t="s">
        <v>90</v>
      </c>
      <c r="B9" t="s">
        <v>58</v>
      </c>
      <c r="C9">
        <v>1</v>
      </c>
      <c r="D9">
        <v>480</v>
      </c>
      <c r="E9">
        <v>40</v>
      </c>
      <c r="F9">
        <v>40</v>
      </c>
    </row>
    <row r="10" spans="1:6" x14ac:dyDescent="0.3">
      <c r="A10" t="s">
        <v>86</v>
      </c>
      <c r="B10" t="s">
        <v>51</v>
      </c>
      <c r="C10">
        <v>2</v>
      </c>
      <c r="D10">
        <v>480</v>
      </c>
      <c r="E10">
        <v>40</v>
      </c>
      <c r="F10">
        <v>80</v>
      </c>
    </row>
    <row r="11" spans="1:6" x14ac:dyDescent="0.3">
      <c r="A11" t="s">
        <v>88</v>
      </c>
      <c r="B11" t="s">
        <v>53</v>
      </c>
      <c r="C11">
        <v>8</v>
      </c>
      <c r="D11">
        <v>480</v>
      </c>
      <c r="E11">
        <v>40</v>
      </c>
      <c r="F11">
        <v>320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1E14B-0061-4D9A-B43E-20DEECBCDB6E}">
  <sheetPr codeName="Sheet2"/>
  <dimension ref="A1:O75"/>
  <sheetViews>
    <sheetView workbookViewId="0">
      <selection activeCell="F13" sqref="F13"/>
    </sheetView>
  </sheetViews>
  <sheetFormatPr defaultRowHeight="14.4" x14ac:dyDescent="0.3"/>
  <cols>
    <col min="1" max="1" width="19.33203125" bestFit="1" customWidth="1"/>
    <col min="2" max="2" width="16.44140625" bestFit="1" customWidth="1"/>
    <col min="3" max="3" width="22.88671875" bestFit="1" customWidth="1"/>
    <col min="4" max="4" width="25.88671875" bestFit="1" customWidth="1"/>
    <col min="5" max="11" width="15.5546875" bestFit="1" customWidth="1"/>
    <col min="12" max="12" width="19.33203125" bestFit="1" customWidth="1"/>
    <col min="13" max="13" width="15.33203125" bestFit="1" customWidth="1"/>
  </cols>
  <sheetData>
    <row r="1" spans="1:15" x14ac:dyDescent="0.3">
      <c r="A1" s="19" t="s">
        <v>159</v>
      </c>
      <c r="B1" s="19" t="s">
        <v>160</v>
      </c>
      <c r="C1" s="19" t="s">
        <v>161</v>
      </c>
      <c r="D1" s="19" t="s">
        <v>162</v>
      </c>
      <c r="E1" s="19" t="s">
        <v>163</v>
      </c>
      <c r="F1" s="19" t="s">
        <v>164</v>
      </c>
      <c r="G1" s="19" t="s">
        <v>165</v>
      </c>
      <c r="H1" s="19" t="s">
        <v>166</v>
      </c>
      <c r="I1" s="19" t="s">
        <v>167</v>
      </c>
      <c r="J1" s="19" t="s">
        <v>168</v>
      </c>
      <c r="K1" s="19" t="s">
        <v>169</v>
      </c>
      <c r="L1" s="19" t="s">
        <v>170</v>
      </c>
      <c r="M1" s="19" t="s">
        <v>171</v>
      </c>
      <c r="N1" s="19"/>
      <c r="O1" s="19"/>
    </row>
    <row r="2" spans="1:15" x14ac:dyDescent="0.3">
      <c r="A2" s="19" t="s">
        <v>80</v>
      </c>
      <c r="B2" s="19" t="s">
        <v>118</v>
      </c>
      <c r="C2" s="19">
        <v>700</v>
      </c>
      <c r="D2" s="19" t="s">
        <v>172</v>
      </c>
      <c r="E2" s="19">
        <v>199.5</v>
      </c>
      <c r="F2" s="19">
        <v>199.5</v>
      </c>
      <c r="G2" s="19">
        <v>199.5</v>
      </c>
      <c r="H2" s="19"/>
      <c r="I2" s="19"/>
      <c r="J2" s="19"/>
      <c r="K2" s="19"/>
      <c r="L2" s="19">
        <v>598.5</v>
      </c>
      <c r="M2" s="19">
        <v>101.5</v>
      </c>
      <c r="N2" s="19"/>
      <c r="O2" s="19"/>
    </row>
    <row r="3" spans="1:15" x14ac:dyDescent="0.3">
      <c r="A3" s="19"/>
      <c r="B3" s="19"/>
      <c r="C3" s="19"/>
      <c r="D3" s="19"/>
      <c r="E3" s="19" t="s">
        <v>173</v>
      </c>
      <c r="F3" s="19" t="s">
        <v>173</v>
      </c>
      <c r="G3" s="19" t="s">
        <v>174</v>
      </c>
      <c r="H3" s="19"/>
      <c r="I3" s="19"/>
      <c r="J3" s="19"/>
      <c r="K3" s="19"/>
      <c r="L3" s="19"/>
      <c r="M3" s="19"/>
      <c r="N3" s="19"/>
      <c r="O3" s="19"/>
    </row>
    <row r="4" spans="1:15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</row>
    <row r="5" spans="1:15" x14ac:dyDescent="0.3">
      <c r="A5" s="19" t="s">
        <v>80</v>
      </c>
      <c r="B5" s="19" t="s">
        <v>118</v>
      </c>
      <c r="C5" s="19">
        <v>700</v>
      </c>
      <c r="D5" s="19" t="s">
        <v>172</v>
      </c>
      <c r="E5" s="19">
        <v>199.5</v>
      </c>
      <c r="F5" s="19">
        <v>199.5</v>
      </c>
      <c r="G5" s="19">
        <v>199.5</v>
      </c>
      <c r="H5" s="19"/>
      <c r="I5" s="19"/>
      <c r="J5" s="19"/>
      <c r="K5" s="19"/>
      <c r="L5" s="19">
        <v>598.5</v>
      </c>
      <c r="M5" s="19">
        <v>101.5</v>
      </c>
      <c r="N5" s="19"/>
      <c r="O5" s="19"/>
    </row>
    <row r="6" spans="1:15" x14ac:dyDescent="0.3">
      <c r="A6" s="19"/>
      <c r="B6" s="19"/>
      <c r="C6" s="19"/>
      <c r="D6" s="19"/>
      <c r="E6" s="19" t="s">
        <v>174</v>
      </c>
      <c r="F6" s="19" t="s">
        <v>174</v>
      </c>
      <c r="G6" s="19" t="s">
        <v>175</v>
      </c>
      <c r="H6" s="19"/>
      <c r="I6" s="19"/>
      <c r="J6" s="19"/>
      <c r="K6" s="19"/>
      <c r="L6" s="19"/>
      <c r="M6" s="19"/>
      <c r="N6" s="19"/>
      <c r="O6" s="19"/>
    </row>
    <row r="7" spans="1:15" x14ac:dyDescent="0.3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</row>
    <row r="8" spans="1:15" x14ac:dyDescent="0.3">
      <c r="A8" s="19" t="s">
        <v>80</v>
      </c>
      <c r="B8" s="19" t="s">
        <v>118</v>
      </c>
      <c r="C8" s="19">
        <v>700</v>
      </c>
      <c r="D8" s="19" t="s">
        <v>172</v>
      </c>
      <c r="E8" s="19">
        <v>199.5</v>
      </c>
      <c r="F8" s="19">
        <v>199.5</v>
      </c>
      <c r="G8" s="19">
        <v>199.5</v>
      </c>
      <c r="H8" s="19"/>
      <c r="I8" s="19"/>
      <c r="J8" s="19"/>
      <c r="K8" s="19"/>
      <c r="L8" s="19">
        <v>598.5</v>
      </c>
      <c r="M8" s="19">
        <v>101.5</v>
      </c>
      <c r="N8" s="19"/>
      <c r="O8" s="19"/>
    </row>
    <row r="9" spans="1:15" x14ac:dyDescent="0.3">
      <c r="A9" s="19"/>
      <c r="B9" s="19"/>
      <c r="C9" s="19"/>
      <c r="D9" s="19"/>
      <c r="E9" s="19" t="s">
        <v>176</v>
      </c>
      <c r="F9" s="19" t="s">
        <v>177</v>
      </c>
      <c r="G9" s="19" t="s">
        <v>178</v>
      </c>
      <c r="H9" s="19"/>
      <c r="I9" s="19"/>
      <c r="J9" s="19"/>
      <c r="K9" s="19"/>
      <c r="L9" s="19"/>
      <c r="M9" s="19"/>
      <c r="N9" s="19"/>
      <c r="O9" s="19"/>
    </row>
    <row r="10" spans="1:15" x14ac:dyDescent="0.3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1:15" x14ac:dyDescent="0.3">
      <c r="A11" s="19" t="s">
        <v>61</v>
      </c>
      <c r="B11" s="19" t="s">
        <v>119</v>
      </c>
      <c r="C11" s="19">
        <v>804</v>
      </c>
      <c r="D11" s="19" t="s">
        <v>179</v>
      </c>
      <c r="E11" s="19">
        <v>767.5</v>
      </c>
      <c r="F11" s="19"/>
      <c r="G11" s="19"/>
      <c r="H11" s="19"/>
      <c r="I11" s="19"/>
      <c r="J11" s="19"/>
      <c r="K11" s="19"/>
      <c r="L11" s="19">
        <v>767.5</v>
      </c>
      <c r="M11" s="19">
        <v>36.5</v>
      </c>
      <c r="N11" s="19"/>
      <c r="O11" s="19"/>
    </row>
    <row r="12" spans="1:15" x14ac:dyDescent="0.3">
      <c r="A12" s="19"/>
      <c r="B12" s="19"/>
      <c r="C12" s="19"/>
      <c r="D12" s="19"/>
      <c r="E12" s="19" t="s">
        <v>180</v>
      </c>
      <c r="F12" s="19"/>
      <c r="G12" s="19"/>
      <c r="H12" s="19"/>
      <c r="I12" s="19"/>
      <c r="J12" s="19"/>
      <c r="K12" s="19"/>
      <c r="L12" s="19"/>
      <c r="M12" s="19"/>
      <c r="N12" s="19"/>
      <c r="O12" s="19"/>
    </row>
    <row r="13" spans="1:15" x14ac:dyDescent="0.3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</row>
    <row r="14" spans="1:15" x14ac:dyDescent="0.3">
      <c r="A14" s="19" t="s">
        <v>61</v>
      </c>
      <c r="B14" s="19" t="s">
        <v>119</v>
      </c>
      <c r="C14" s="19">
        <v>804</v>
      </c>
      <c r="D14" s="19" t="s">
        <v>179</v>
      </c>
      <c r="E14" s="19">
        <v>767.5</v>
      </c>
      <c r="F14" s="19"/>
      <c r="G14" s="19"/>
      <c r="H14" s="19"/>
      <c r="I14" s="19"/>
      <c r="J14" s="19"/>
      <c r="K14" s="19"/>
      <c r="L14" s="19">
        <v>767.5</v>
      </c>
      <c r="M14" s="19">
        <v>36.5</v>
      </c>
      <c r="N14" s="19"/>
      <c r="O14" s="19"/>
    </row>
    <row r="15" spans="1:15" x14ac:dyDescent="0.3">
      <c r="A15" s="19"/>
      <c r="B15" s="19"/>
      <c r="C15" s="19"/>
      <c r="D15" s="19"/>
      <c r="E15" s="19" t="s">
        <v>181</v>
      </c>
      <c r="F15" s="19"/>
      <c r="G15" s="19"/>
      <c r="H15" s="19"/>
      <c r="I15" s="19"/>
      <c r="J15" s="19"/>
      <c r="K15" s="19"/>
      <c r="L15" s="19"/>
      <c r="M15" s="19"/>
      <c r="N15" s="19"/>
      <c r="O15" s="19"/>
    </row>
    <row r="16" spans="1:15" x14ac:dyDescent="0.3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1:15" x14ac:dyDescent="0.3">
      <c r="A17" s="19" t="s">
        <v>81</v>
      </c>
      <c r="B17" s="19" t="s">
        <v>116</v>
      </c>
      <c r="C17" s="19">
        <v>332</v>
      </c>
      <c r="D17" s="19" t="s">
        <v>182</v>
      </c>
      <c r="E17" s="19">
        <v>20.875</v>
      </c>
      <c r="F17" s="19">
        <v>25.75</v>
      </c>
      <c r="G17" s="19">
        <v>25.75</v>
      </c>
      <c r="H17" s="19">
        <v>102.75</v>
      </c>
      <c r="I17" s="19">
        <v>154.375</v>
      </c>
      <c r="J17" s="19"/>
      <c r="K17" s="19"/>
      <c r="L17" s="19">
        <v>329.5</v>
      </c>
      <c r="M17" s="19">
        <v>2.5</v>
      </c>
      <c r="N17" s="19"/>
      <c r="O17" s="19"/>
    </row>
    <row r="18" spans="1:15" x14ac:dyDescent="0.3">
      <c r="A18" s="19"/>
      <c r="B18" s="19"/>
      <c r="C18" s="19"/>
      <c r="D18" s="19"/>
      <c r="E18" s="19" t="s">
        <v>183</v>
      </c>
      <c r="F18" s="19" t="s">
        <v>184</v>
      </c>
      <c r="G18" s="19" t="s">
        <v>184</v>
      </c>
      <c r="H18" s="19" t="s">
        <v>185</v>
      </c>
      <c r="I18" s="19" t="s">
        <v>186</v>
      </c>
      <c r="J18" s="19"/>
      <c r="K18" s="19"/>
      <c r="L18" s="19"/>
      <c r="M18" s="19"/>
      <c r="N18" s="19"/>
      <c r="O18" s="19"/>
    </row>
    <row r="19" spans="1:15" x14ac:dyDescent="0.3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</row>
    <row r="20" spans="1:15" x14ac:dyDescent="0.3">
      <c r="A20" s="19" t="s">
        <v>81</v>
      </c>
      <c r="B20" s="19" t="s">
        <v>114</v>
      </c>
      <c r="C20" s="19">
        <v>604</v>
      </c>
      <c r="D20" s="19" t="s">
        <v>187</v>
      </c>
      <c r="E20" s="19">
        <v>39</v>
      </c>
      <c r="F20" s="19">
        <v>47.125</v>
      </c>
      <c r="G20" s="19">
        <v>167.875</v>
      </c>
      <c r="H20" s="19">
        <v>173.75</v>
      </c>
      <c r="I20" s="19">
        <v>173.75</v>
      </c>
      <c r="J20" s="19"/>
      <c r="K20" s="19"/>
      <c r="L20" s="19">
        <v>601.5</v>
      </c>
      <c r="M20" s="19">
        <v>2.5</v>
      </c>
      <c r="N20" s="19"/>
      <c r="O20" s="19"/>
    </row>
    <row r="21" spans="1:15" x14ac:dyDescent="0.3">
      <c r="A21" s="19"/>
      <c r="B21" s="19"/>
      <c r="C21" s="19"/>
      <c r="D21" s="19"/>
      <c r="E21" s="19" t="s">
        <v>188</v>
      </c>
      <c r="F21" s="19" t="s">
        <v>189</v>
      </c>
      <c r="G21" s="19" t="s">
        <v>190</v>
      </c>
      <c r="H21" s="19" t="s">
        <v>191</v>
      </c>
      <c r="I21" s="19" t="s">
        <v>191</v>
      </c>
      <c r="J21" s="19"/>
      <c r="K21" s="19"/>
      <c r="L21" s="19"/>
      <c r="M21" s="19"/>
      <c r="N21" s="19"/>
      <c r="O21" s="19"/>
    </row>
    <row r="22" spans="1:15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</row>
    <row r="23" spans="1:15" x14ac:dyDescent="0.3">
      <c r="A23" s="19" t="s">
        <v>81</v>
      </c>
      <c r="B23" s="19" t="s">
        <v>114</v>
      </c>
      <c r="C23" s="19">
        <v>604</v>
      </c>
      <c r="D23" s="19" t="s">
        <v>187</v>
      </c>
      <c r="E23" s="19">
        <v>20.875</v>
      </c>
      <c r="F23" s="19">
        <v>180.25</v>
      </c>
      <c r="G23" s="19">
        <v>199.5</v>
      </c>
      <c r="H23" s="19">
        <v>199.5</v>
      </c>
      <c r="I23" s="19"/>
      <c r="J23" s="19"/>
      <c r="K23" s="19"/>
      <c r="L23" s="19">
        <v>600.125</v>
      </c>
      <c r="M23" s="19">
        <v>3.875</v>
      </c>
      <c r="N23" s="19"/>
      <c r="O23" s="19"/>
    </row>
    <row r="24" spans="1:15" x14ac:dyDescent="0.3">
      <c r="A24" s="19"/>
      <c r="B24" s="19"/>
      <c r="C24" s="19"/>
      <c r="D24" s="19"/>
      <c r="E24" s="19" t="s">
        <v>183</v>
      </c>
      <c r="F24" s="19" t="s">
        <v>192</v>
      </c>
      <c r="G24" s="19" t="s">
        <v>193</v>
      </c>
      <c r="H24" s="19" t="s">
        <v>193</v>
      </c>
      <c r="I24" s="19"/>
      <c r="J24" s="19"/>
      <c r="K24" s="19"/>
      <c r="L24" s="19"/>
      <c r="M24" s="19"/>
      <c r="N24" s="19"/>
      <c r="O24" s="19"/>
    </row>
    <row r="25" spans="1:15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</row>
    <row r="26" spans="1:15" x14ac:dyDescent="0.3">
      <c r="A26" s="19" t="s">
        <v>81</v>
      </c>
      <c r="B26" s="19" t="s">
        <v>114</v>
      </c>
      <c r="C26" s="19">
        <v>604</v>
      </c>
      <c r="D26" s="19" t="s">
        <v>187</v>
      </c>
      <c r="E26" s="19">
        <v>199.5</v>
      </c>
      <c r="F26" s="19">
        <v>199.5</v>
      </c>
      <c r="G26" s="19">
        <v>199.5</v>
      </c>
      <c r="H26" s="19"/>
      <c r="I26" s="19"/>
      <c r="J26" s="19"/>
      <c r="K26" s="19"/>
      <c r="L26" s="19">
        <v>598.5</v>
      </c>
      <c r="M26" s="19">
        <v>5.5</v>
      </c>
      <c r="N26" s="19"/>
      <c r="O26" s="19"/>
    </row>
    <row r="27" spans="1:15" x14ac:dyDescent="0.3">
      <c r="A27" s="19"/>
      <c r="B27" s="19"/>
      <c r="C27" s="19"/>
      <c r="D27" s="19"/>
      <c r="E27" s="19" t="s">
        <v>193</v>
      </c>
      <c r="F27" s="19" t="s">
        <v>193</v>
      </c>
      <c r="G27" s="19" t="s">
        <v>193</v>
      </c>
      <c r="H27" s="19"/>
      <c r="I27" s="19"/>
      <c r="J27" s="19"/>
      <c r="K27" s="19"/>
      <c r="L27" s="19"/>
      <c r="M27" s="19"/>
      <c r="N27" s="19"/>
      <c r="O27" s="19"/>
    </row>
    <row r="28" spans="1:15" x14ac:dyDescent="0.3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</row>
    <row r="29" spans="1:15" x14ac:dyDescent="0.3">
      <c r="A29" s="19" t="s">
        <v>81</v>
      </c>
      <c r="B29" s="19" t="s">
        <v>113</v>
      </c>
      <c r="C29" s="19">
        <v>688</v>
      </c>
      <c r="D29" s="19" t="s">
        <v>194</v>
      </c>
      <c r="E29" s="19">
        <v>20.875</v>
      </c>
      <c r="F29" s="19">
        <v>20.875</v>
      </c>
      <c r="G29" s="19">
        <v>20.875</v>
      </c>
      <c r="H29" s="19">
        <v>24.25</v>
      </c>
      <c r="I29" s="19">
        <v>199.5</v>
      </c>
      <c r="J29" s="19">
        <v>199.5</v>
      </c>
      <c r="K29" s="19">
        <v>199.5</v>
      </c>
      <c r="L29" s="19">
        <v>685.375</v>
      </c>
      <c r="M29" s="19">
        <v>2.625</v>
      </c>
      <c r="N29" s="19"/>
      <c r="O29" s="19"/>
    </row>
    <row r="30" spans="1:15" x14ac:dyDescent="0.3">
      <c r="A30" s="19"/>
      <c r="B30" s="19"/>
      <c r="C30" s="19"/>
      <c r="D30" s="19"/>
      <c r="E30" s="19" t="s">
        <v>183</v>
      </c>
      <c r="F30" s="19" t="s">
        <v>183</v>
      </c>
      <c r="G30" s="19" t="s">
        <v>183</v>
      </c>
      <c r="H30" s="19" t="s">
        <v>195</v>
      </c>
      <c r="I30" s="19" t="s">
        <v>193</v>
      </c>
      <c r="J30" s="19" t="s">
        <v>193</v>
      </c>
      <c r="K30" s="19" t="s">
        <v>193</v>
      </c>
      <c r="L30" s="19"/>
      <c r="M30" s="19"/>
      <c r="N30" s="19"/>
      <c r="O30" s="19"/>
    </row>
    <row r="31" spans="1:15" x14ac:dyDescent="0.3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</row>
    <row r="32" spans="1:15" x14ac:dyDescent="0.3">
      <c r="A32" s="19" t="s">
        <v>81</v>
      </c>
      <c r="B32" s="19" t="s">
        <v>112</v>
      </c>
      <c r="C32" s="19">
        <v>728</v>
      </c>
      <c r="D32" s="19" t="s">
        <v>196</v>
      </c>
      <c r="E32" s="19">
        <v>173.75</v>
      </c>
      <c r="F32" s="19">
        <v>173.75</v>
      </c>
      <c r="G32" s="19">
        <v>173.75</v>
      </c>
      <c r="H32" s="19">
        <v>199.5</v>
      </c>
      <c r="I32" s="19"/>
      <c r="J32" s="19"/>
      <c r="K32" s="19"/>
      <c r="L32" s="19">
        <v>720.75</v>
      </c>
      <c r="M32" s="19">
        <v>7.25</v>
      </c>
      <c r="N32" s="19"/>
      <c r="O32" s="19"/>
    </row>
    <row r="33" spans="1:15" x14ac:dyDescent="0.3">
      <c r="A33" s="19"/>
      <c r="B33" s="19"/>
      <c r="C33" s="19"/>
      <c r="D33" s="19"/>
      <c r="E33" s="19" t="s">
        <v>191</v>
      </c>
      <c r="F33" s="19" t="s">
        <v>191</v>
      </c>
      <c r="G33" s="19" t="s">
        <v>191</v>
      </c>
      <c r="H33" s="19" t="s">
        <v>193</v>
      </c>
      <c r="I33" s="19"/>
      <c r="J33" s="19"/>
      <c r="K33" s="19"/>
      <c r="L33" s="19"/>
      <c r="M33" s="19"/>
      <c r="N33" s="19"/>
      <c r="O33" s="19"/>
    </row>
    <row r="34" spans="1:15" x14ac:dyDescent="0.3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</row>
    <row r="35" spans="1:15" x14ac:dyDescent="0.3">
      <c r="A35" s="19" t="s">
        <v>81</v>
      </c>
      <c r="B35" s="19" t="s">
        <v>112</v>
      </c>
      <c r="C35" s="19">
        <v>728</v>
      </c>
      <c r="D35" s="19" t="s">
        <v>196</v>
      </c>
      <c r="E35" s="19">
        <v>146.75</v>
      </c>
      <c r="F35" s="19">
        <v>173.75</v>
      </c>
      <c r="G35" s="19">
        <v>199.5</v>
      </c>
      <c r="H35" s="19">
        <v>199.5</v>
      </c>
      <c r="I35" s="19"/>
      <c r="J35" s="19"/>
      <c r="K35" s="19"/>
      <c r="L35" s="19">
        <v>719.5</v>
      </c>
      <c r="M35" s="19">
        <v>8.5</v>
      </c>
      <c r="N35" s="19"/>
      <c r="O35" s="19"/>
    </row>
    <row r="36" spans="1:15" x14ac:dyDescent="0.3">
      <c r="A36" s="19"/>
      <c r="B36" s="19"/>
      <c r="C36" s="19"/>
      <c r="D36" s="19"/>
      <c r="E36" s="19" t="s">
        <v>197</v>
      </c>
      <c r="F36" s="19" t="s">
        <v>191</v>
      </c>
      <c r="G36" s="19" t="s">
        <v>193</v>
      </c>
      <c r="H36" s="19" t="s">
        <v>193</v>
      </c>
      <c r="I36" s="19"/>
      <c r="J36" s="19"/>
      <c r="K36" s="19"/>
      <c r="L36" s="19"/>
      <c r="M36" s="19"/>
      <c r="N36" s="19"/>
      <c r="O36" s="19"/>
    </row>
    <row r="37" spans="1:15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</row>
    <row r="38" spans="1:15" x14ac:dyDescent="0.3">
      <c r="A38" s="19" t="s">
        <v>81</v>
      </c>
      <c r="B38" s="19" t="s">
        <v>111</v>
      </c>
      <c r="C38" s="19">
        <v>764</v>
      </c>
      <c r="D38" s="19" t="s">
        <v>198</v>
      </c>
      <c r="E38" s="19">
        <v>20.875</v>
      </c>
      <c r="F38" s="19">
        <v>166</v>
      </c>
      <c r="G38" s="19">
        <v>173.75</v>
      </c>
      <c r="H38" s="19">
        <v>199.5</v>
      </c>
      <c r="I38" s="19">
        <v>199.5</v>
      </c>
      <c r="J38" s="19"/>
      <c r="K38" s="19"/>
      <c r="L38" s="19">
        <v>759.625</v>
      </c>
      <c r="M38" s="19">
        <v>4.375</v>
      </c>
      <c r="N38" s="19"/>
      <c r="O38" s="19"/>
    </row>
    <row r="39" spans="1:15" x14ac:dyDescent="0.3">
      <c r="A39" s="19"/>
      <c r="B39" s="19"/>
      <c r="C39" s="19"/>
      <c r="D39" s="19"/>
      <c r="E39" s="19" t="s">
        <v>183</v>
      </c>
      <c r="F39" s="19" t="s">
        <v>199</v>
      </c>
      <c r="G39" s="19" t="s">
        <v>191</v>
      </c>
      <c r="H39" s="19" t="s">
        <v>193</v>
      </c>
      <c r="I39" s="19" t="s">
        <v>193</v>
      </c>
      <c r="J39" s="19"/>
      <c r="K39" s="19"/>
      <c r="L39" s="19"/>
      <c r="M39" s="19"/>
      <c r="N39" s="19"/>
      <c r="O39" s="19"/>
    </row>
    <row r="40" spans="1:15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</row>
    <row r="41" spans="1:15" x14ac:dyDescent="0.3">
      <c r="A41" s="19" t="s">
        <v>90</v>
      </c>
      <c r="B41" s="19" t="s">
        <v>58</v>
      </c>
      <c r="C41" s="19">
        <v>480</v>
      </c>
      <c r="D41" s="19" t="s">
        <v>200</v>
      </c>
      <c r="E41" s="19">
        <v>30.125</v>
      </c>
      <c r="F41" s="19">
        <v>30.125</v>
      </c>
      <c r="G41" s="19">
        <v>29.5</v>
      </c>
      <c r="H41" s="19">
        <v>29.5</v>
      </c>
      <c r="I41" s="19"/>
      <c r="J41" s="19"/>
      <c r="K41" s="19"/>
      <c r="L41" s="19">
        <v>119.25</v>
      </c>
      <c r="M41" s="19">
        <v>360.75</v>
      </c>
      <c r="N41" s="19"/>
      <c r="O41" s="19"/>
    </row>
    <row r="42" spans="1:15" x14ac:dyDescent="0.3">
      <c r="A42" s="19"/>
      <c r="B42" s="19"/>
      <c r="C42" s="19"/>
      <c r="D42" s="19"/>
      <c r="E42" s="19" t="s">
        <v>201</v>
      </c>
      <c r="F42" s="19" t="s">
        <v>201</v>
      </c>
      <c r="G42" s="19" t="s">
        <v>202</v>
      </c>
      <c r="H42" s="19" t="s">
        <v>202</v>
      </c>
      <c r="I42" s="19"/>
      <c r="J42" s="19"/>
      <c r="K42" s="19"/>
      <c r="L42" s="19"/>
      <c r="M42" s="19"/>
      <c r="N42" s="19"/>
      <c r="O42" s="19"/>
    </row>
    <row r="43" spans="1:15" x14ac:dyDescent="0.3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</row>
    <row r="44" spans="1:15" x14ac:dyDescent="0.3">
      <c r="A44" s="19" t="s">
        <v>86</v>
      </c>
      <c r="B44" s="19" t="s">
        <v>51</v>
      </c>
      <c r="C44" s="19">
        <v>480</v>
      </c>
      <c r="D44" s="19" t="s">
        <v>200</v>
      </c>
      <c r="E44" s="19">
        <v>139.375</v>
      </c>
      <c r="F44" s="19">
        <v>112.375</v>
      </c>
      <c r="G44" s="19">
        <v>75.5</v>
      </c>
      <c r="H44" s="19">
        <v>144.75</v>
      </c>
      <c r="I44" s="19"/>
      <c r="J44" s="19"/>
      <c r="K44" s="19"/>
      <c r="L44" s="19">
        <v>472</v>
      </c>
      <c r="M44" s="19">
        <v>8</v>
      </c>
      <c r="N44" s="19"/>
      <c r="O44" s="19"/>
    </row>
    <row r="45" spans="1:15" x14ac:dyDescent="0.3">
      <c r="A45" s="19"/>
      <c r="B45" s="19"/>
      <c r="C45" s="19"/>
      <c r="D45" s="19"/>
      <c r="E45" s="19">
        <v>1245684</v>
      </c>
      <c r="F45" s="19">
        <v>1245685</v>
      </c>
      <c r="G45" s="19">
        <v>1289502</v>
      </c>
      <c r="H45" s="19">
        <v>1245686</v>
      </c>
      <c r="I45" s="19"/>
      <c r="J45" s="19"/>
      <c r="K45" s="19"/>
      <c r="L45" s="19"/>
      <c r="M45" s="19"/>
      <c r="N45" s="19"/>
      <c r="O45" s="19"/>
    </row>
    <row r="46" spans="1:15" x14ac:dyDescent="0.3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</row>
    <row r="47" spans="1:15" x14ac:dyDescent="0.3">
      <c r="A47" s="19" t="s">
        <v>86</v>
      </c>
      <c r="B47" s="19" t="s">
        <v>51</v>
      </c>
      <c r="C47" s="19">
        <v>480</v>
      </c>
      <c r="D47" s="19" t="s">
        <v>200</v>
      </c>
      <c r="E47" s="19">
        <v>161.75</v>
      </c>
      <c r="F47" s="19">
        <v>139.375</v>
      </c>
      <c r="G47" s="19">
        <v>139.375</v>
      </c>
      <c r="H47" s="19"/>
      <c r="I47" s="19"/>
      <c r="J47" s="19"/>
      <c r="K47" s="19"/>
      <c r="L47" s="19">
        <v>440.5</v>
      </c>
      <c r="M47" s="19">
        <v>39.5</v>
      </c>
      <c r="N47" s="19"/>
      <c r="O47" s="19"/>
    </row>
    <row r="48" spans="1:15" x14ac:dyDescent="0.3">
      <c r="A48" s="19"/>
      <c r="B48" s="19"/>
      <c r="C48" s="19"/>
      <c r="D48" s="19"/>
      <c r="E48" s="19">
        <v>1289503</v>
      </c>
      <c r="F48" s="19">
        <v>1245684</v>
      </c>
      <c r="G48" s="19">
        <v>1245684</v>
      </c>
      <c r="H48" s="19"/>
      <c r="I48" s="19"/>
      <c r="J48" s="19"/>
      <c r="K48" s="19"/>
      <c r="L48" s="19"/>
      <c r="M48" s="19"/>
      <c r="N48" s="19"/>
      <c r="O48" s="19"/>
    </row>
    <row r="49" spans="1:15" x14ac:dyDescent="0.3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</row>
    <row r="50" spans="1:15" x14ac:dyDescent="0.3">
      <c r="A50" s="19" t="s">
        <v>88</v>
      </c>
      <c r="B50" s="19" t="s">
        <v>53</v>
      </c>
      <c r="C50" s="19">
        <v>480</v>
      </c>
      <c r="D50" s="19" t="s">
        <v>200</v>
      </c>
      <c r="E50" s="19">
        <v>478.5</v>
      </c>
      <c r="F50" s="19"/>
      <c r="G50" s="19"/>
      <c r="H50" s="19"/>
      <c r="I50" s="19"/>
      <c r="J50" s="19"/>
      <c r="K50" s="19"/>
      <c r="L50" s="19">
        <v>478.5</v>
      </c>
      <c r="M50" s="19">
        <v>1.5</v>
      </c>
      <c r="N50" s="19"/>
      <c r="O50" s="19"/>
    </row>
    <row r="51" spans="1:15" x14ac:dyDescent="0.3">
      <c r="A51" s="19"/>
      <c r="B51" s="19"/>
      <c r="C51" s="19"/>
      <c r="D51" s="19"/>
      <c r="E51" s="19">
        <v>1245682</v>
      </c>
      <c r="F51" s="19"/>
      <c r="G51" s="19"/>
      <c r="H51" s="19"/>
      <c r="I51" s="19"/>
      <c r="J51" s="19"/>
      <c r="K51" s="19"/>
      <c r="L51" s="19"/>
      <c r="M51" s="19"/>
      <c r="N51" s="19"/>
      <c r="O51" s="19"/>
    </row>
    <row r="52" spans="1:15" x14ac:dyDescent="0.3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</row>
    <row r="53" spans="1:15" x14ac:dyDescent="0.3">
      <c r="A53" s="19" t="s">
        <v>88</v>
      </c>
      <c r="B53" s="19" t="s">
        <v>53</v>
      </c>
      <c r="C53" s="19">
        <v>480</v>
      </c>
      <c r="D53" s="19" t="s">
        <v>200</v>
      </c>
      <c r="E53" s="19">
        <v>215.25</v>
      </c>
      <c r="F53" s="19">
        <v>215.25</v>
      </c>
      <c r="G53" s="19">
        <v>30.625</v>
      </c>
      <c r="H53" s="19"/>
      <c r="I53" s="19"/>
      <c r="J53" s="19"/>
      <c r="K53" s="19"/>
      <c r="L53" s="19">
        <v>461.125</v>
      </c>
      <c r="M53" s="19">
        <v>18.875</v>
      </c>
      <c r="N53" s="19"/>
      <c r="O53" s="19"/>
    </row>
    <row r="54" spans="1:15" x14ac:dyDescent="0.3">
      <c r="A54" s="19"/>
      <c r="B54" s="19"/>
      <c r="C54" s="19"/>
      <c r="D54" s="19"/>
      <c r="E54" s="19">
        <v>1245667</v>
      </c>
      <c r="F54" s="19">
        <v>1245667</v>
      </c>
      <c r="G54" s="19">
        <v>12456824</v>
      </c>
      <c r="H54" s="19"/>
      <c r="I54" s="19"/>
      <c r="J54" s="19"/>
      <c r="K54" s="19"/>
      <c r="L54" s="19"/>
      <c r="M54" s="19"/>
      <c r="N54" s="19"/>
      <c r="O54" s="19"/>
    </row>
    <row r="55" spans="1:15" x14ac:dyDescent="0.3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</row>
    <row r="56" spans="1:15" x14ac:dyDescent="0.3">
      <c r="A56" s="19" t="s">
        <v>88</v>
      </c>
      <c r="B56" s="19" t="s">
        <v>53</v>
      </c>
      <c r="C56" s="19">
        <v>480</v>
      </c>
      <c r="D56" s="19" t="s">
        <v>200</v>
      </c>
      <c r="E56" s="19">
        <v>133.5</v>
      </c>
      <c r="F56" s="19">
        <v>133.5</v>
      </c>
      <c r="G56" s="19">
        <v>209.75</v>
      </c>
      <c r="H56" s="19"/>
      <c r="I56" s="19"/>
      <c r="J56" s="19"/>
      <c r="K56" s="19"/>
      <c r="L56" s="19">
        <v>476.75</v>
      </c>
      <c r="M56" s="19">
        <v>3.25</v>
      </c>
      <c r="N56" s="19"/>
      <c r="O56" s="19"/>
    </row>
    <row r="57" spans="1:15" x14ac:dyDescent="0.3">
      <c r="A57" s="19"/>
      <c r="B57" s="19"/>
      <c r="C57" s="19"/>
      <c r="D57" s="19"/>
      <c r="E57" s="19">
        <v>1245666</v>
      </c>
      <c r="F57" s="19">
        <v>1245666</v>
      </c>
      <c r="G57" s="19">
        <v>1289505</v>
      </c>
      <c r="H57" s="19"/>
      <c r="I57" s="19"/>
      <c r="J57" s="19"/>
      <c r="K57" s="19"/>
      <c r="L57" s="19"/>
      <c r="M57" s="19"/>
      <c r="N57" s="19"/>
      <c r="O57" s="19"/>
    </row>
    <row r="58" spans="1:15" x14ac:dyDescent="0.3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</row>
    <row r="59" spans="1:15" x14ac:dyDescent="0.3">
      <c r="A59" s="19" t="s">
        <v>88</v>
      </c>
      <c r="B59" s="19" t="s">
        <v>53</v>
      </c>
      <c r="C59" s="19">
        <v>480</v>
      </c>
      <c r="D59" s="19" t="s">
        <v>200</v>
      </c>
      <c r="E59" s="19">
        <v>145.375</v>
      </c>
      <c r="F59" s="19">
        <v>139.375</v>
      </c>
      <c r="G59" s="19">
        <v>139.375</v>
      </c>
      <c r="H59" s="19"/>
      <c r="I59" s="19"/>
      <c r="J59" s="19"/>
      <c r="K59" s="19"/>
      <c r="L59" s="19">
        <v>424.125</v>
      </c>
      <c r="M59" s="19">
        <v>55.875</v>
      </c>
      <c r="N59" s="19"/>
      <c r="O59" s="19"/>
    </row>
    <row r="60" spans="1:15" x14ac:dyDescent="0.3">
      <c r="A60" s="19"/>
      <c r="B60" s="19"/>
      <c r="C60" s="19"/>
      <c r="D60" s="19"/>
      <c r="E60" s="19">
        <v>1289506</v>
      </c>
      <c r="F60" s="19">
        <v>1245683</v>
      </c>
      <c r="G60" s="19">
        <v>1245665</v>
      </c>
      <c r="H60" s="19"/>
      <c r="I60" s="19"/>
      <c r="J60" s="19"/>
      <c r="K60" s="19"/>
      <c r="L60" s="19"/>
      <c r="M60" s="19"/>
      <c r="N60" s="19"/>
      <c r="O60" s="19"/>
    </row>
    <row r="61" spans="1:15" x14ac:dyDescent="0.3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</row>
    <row r="62" spans="1:15" x14ac:dyDescent="0.3">
      <c r="A62" s="19" t="s">
        <v>88</v>
      </c>
      <c r="B62" s="19" t="s">
        <v>53</v>
      </c>
      <c r="C62" s="19">
        <v>480</v>
      </c>
      <c r="D62" s="19" t="s">
        <v>200</v>
      </c>
      <c r="E62" s="19">
        <v>209.75</v>
      </c>
      <c r="F62" s="19">
        <v>209.75</v>
      </c>
      <c r="G62" s="19"/>
      <c r="H62" s="19"/>
      <c r="I62" s="19"/>
      <c r="J62" s="19"/>
      <c r="K62" s="19"/>
      <c r="L62" s="19">
        <v>419.5</v>
      </c>
      <c r="M62" s="19">
        <v>60.5</v>
      </c>
      <c r="N62" s="19"/>
      <c r="O62" s="19"/>
    </row>
    <row r="63" spans="1:15" x14ac:dyDescent="0.3">
      <c r="A63" s="19"/>
      <c r="B63" s="19"/>
      <c r="C63" s="19"/>
      <c r="D63" s="19"/>
      <c r="E63" s="19">
        <v>1289505</v>
      </c>
      <c r="F63" s="19">
        <v>1289505</v>
      </c>
      <c r="G63" s="19"/>
      <c r="H63" s="19"/>
      <c r="I63" s="19"/>
      <c r="J63" s="19"/>
      <c r="K63" s="19"/>
      <c r="L63" s="19"/>
      <c r="M63" s="19"/>
      <c r="N63" s="19"/>
      <c r="O63" s="19"/>
    </row>
    <row r="64" spans="1:15" x14ac:dyDescent="0.3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</row>
    <row r="65" spans="1:15" x14ac:dyDescent="0.3">
      <c r="A65" s="19" t="s">
        <v>88</v>
      </c>
      <c r="B65" s="19" t="s">
        <v>53</v>
      </c>
      <c r="C65" s="19">
        <v>480</v>
      </c>
      <c r="D65" s="19" t="s">
        <v>200</v>
      </c>
      <c r="E65" s="19">
        <v>139.375</v>
      </c>
      <c r="F65" s="19">
        <v>139.375</v>
      </c>
      <c r="G65" s="19">
        <v>139.375</v>
      </c>
      <c r="H65" s="19"/>
      <c r="I65" s="19"/>
      <c r="J65" s="19"/>
      <c r="K65" s="19"/>
      <c r="L65" s="19">
        <v>418.125</v>
      </c>
      <c r="M65" s="19">
        <v>61.875</v>
      </c>
      <c r="N65" s="19"/>
      <c r="O65" s="19"/>
    </row>
    <row r="66" spans="1:15" x14ac:dyDescent="0.3">
      <c r="A66" s="19"/>
      <c r="B66" s="19"/>
      <c r="C66" s="19"/>
      <c r="D66" s="19"/>
      <c r="E66" s="19">
        <v>1245665</v>
      </c>
      <c r="F66" s="19">
        <v>1289504</v>
      </c>
      <c r="G66" s="19">
        <v>1289504</v>
      </c>
      <c r="H66" s="19"/>
      <c r="I66" s="19"/>
      <c r="J66" s="19"/>
      <c r="K66" s="19"/>
      <c r="L66" s="19"/>
      <c r="M66" s="19"/>
      <c r="N66" s="19"/>
      <c r="O66" s="19"/>
    </row>
    <row r="67" spans="1:15" x14ac:dyDescent="0.3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</row>
    <row r="68" spans="1:15" x14ac:dyDescent="0.3">
      <c r="A68" s="19" t="s">
        <v>88</v>
      </c>
      <c r="B68" s="19" t="s">
        <v>53</v>
      </c>
      <c r="C68" s="19">
        <v>480</v>
      </c>
      <c r="D68" s="19" t="s">
        <v>200</v>
      </c>
      <c r="E68" s="19">
        <v>209.75</v>
      </c>
      <c r="F68" s="19">
        <v>139.375</v>
      </c>
      <c r="G68" s="19"/>
      <c r="H68" s="19"/>
      <c r="I68" s="19"/>
      <c r="J68" s="19"/>
      <c r="K68" s="19"/>
      <c r="L68" s="19">
        <v>349.125</v>
      </c>
      <c r="M68" s="19">
        <v>130.875</v>
      </c>
      <c r="N68" s="19"/>
      <c r="O68" s="19"/>
    </row>
    <row r="69" spans="1:15" x14ac:dyDescent="0.3">
      <c r="A69" s="19"/>
      <c r="B69" s="19"/>
      <c r="C69" s="19"/>
      <c r="D69" s="19"/>
      <c r="E69" s="19">
        <v>1289505</v>
      </c>
      <c r="F69" s="19">
        <v>1289504</v>
      </c>
      <c r="G69" s="19"/>
      <c r="H69" s="19"/>
      <c r="I69" s="19"/>
      <c r="J69" s="19"/>
      <c r="K69" s="19"/>
      <c r="L69" s="19"/>
      <c r="M69" s="19"/>
      <c r="N69" s="19"/>
      <c r="O69" s="19"/>
    </row>
    <row r="70" spans="1:15" x14ac:dyDescent="0.3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x14ac:dyDescent="0.3">
      <c r="A71" s="19" t="s">
        <v>88</v>
      </c>
      <c r="B71" s="19" t="s">
        <v>53</v>
      </c>
      <c r="C71" s="19">
        <v>480</v>
      </c>
      <c r="D71" s="19" t="s">
        <v>200</v>
      </c>
      <c r="E71" s="19">
        <v>139.375</v>
      </c>
      <c r="F71" s="19"/>
      <c r="G71" s="19"/>
      <c r="H71" s="19"/>
      <c r="I71" s="19"/>
      <c r="J71" s="19"/>
      <c r="K71" s="19"/>
      <c r="L71" s="19">
        <v>139.375</v>
      </c>
      <c r="M71" s="19">
        <v>340.625</v>
      </c>
      <c r="N71" s="19"/>
      <c r="O71" s="19"/>
    </row>
    <row r="72" spans="1:15" x14ac:dyDescent="0.3">
      <c r="A72" s="19"/>
      <c r="B72" s="19"/>
      <c r="C72" s="19"/>
      <c r="D72" s="19"/>
      <c r="E72" s="19">
        <v>1289504</v>
      </c>
      <c r="F72" s="19"/>
      <c r="G72" s="19"/>
      <c r="H72" s="19"/>
      <c r="I72" s="19"/>
      <c r="J72" s="19"/>
      <c r="K72" s="19"/>
      <c r="L72" s="19"/>
      <c r="M72" s="19"/>
      <c r="N72" s="19"/>
      <c r="O72" s="19"/>
    </row>
    <row r="73" spans="1:15" x14ac:dyDescent="0.3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</row>
    <row r="74" spans="1:15" x14ac:dyDescent="0.3">
      <c r="A74" s="19"/>
      <c r="B74" s="19"/>
      <c r="C74" s="19">
        <v>14040</v>
      </c>
      <c r="D74" s="19" t="s">
        <v>203</v>
      </c>
      <c r="E74" s="19"/>
      <c r="F74" s="19"/>
      <c r="G74" s="19"/>
      <c r="H74" s="19"/>
      <c r="I74" s="19"/>
      <c r="J74" s="19"/>
      <c r="K74" s="19"/>
      <c r="L74" s="19">
        <v>12543.75</v>
      </c>
      <c r="M74" s="19">
        <v>1496.25</v>
      </c>
      <c r="N74" s="19"/>
      <c r="O74" s="19"/>
    </row>
    <row r="75" spans="1:15" x14ac:dyDescent="0.3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20">
        <v>0.1066</v>
      </c>
      <c r="N75" s="19"/>
      <c r="O75" s="1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Jayakumar Veeramani</cp:lastModifiedBy>
  <cp:lastPrinted>2022-06-08T05:42:53Z</cp:lastPrinted>
  <dcterms:created xsi:type="dcterms:W3CDTF">2015-06-05T18:17:20Z</dcterms:created>
  <dcterms:modified xsi:type="dcterms:W3CDTF">2024-01-19T05:24:08Z</dcterms:modified>
</cp:coreProperties>
</file>