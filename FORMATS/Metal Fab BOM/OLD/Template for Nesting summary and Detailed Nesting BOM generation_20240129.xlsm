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"/>
    </mc:Choice>
  </mc:AlternateContent>
  <xr:revisionPtr revIDLastSave="0" documentId="13_ncr:1_{6AB0638F-368B-4EAC-A40A-D6018313749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20" l="1"/>
  <c r="B48" i="20"/>
  <c r="B47" i="20"/>
  <c r="B46" i="20"/>
  <c r="B45" i="20"/>
  <c r="B44" i="20"/>
  <c r="D43" i="20"/>
  <c r="D41" i="20"/>
  <c r="D40" i="20"/>
  <c r="D39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</calcChain>
</file>

<file path=xl/sharedStrings.xml><?xml version="1.0" encoding="utf-8"?>
<sst xmlns="http://schemas.openxmlformats.org/spreadsheetml/2006/main" count="279" uniqueCount="144">
  <si>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</si>
  <si>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</si>
  <si>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</si>
  <si>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</si>
  <si>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</si>
  <si>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</si>
  <si>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</si>
  <si>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</si>
  <si>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</si>
  <si>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</si>
  <si>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</si>
  <si>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</si>
  <si>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</si>
  <si>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</si>
  <si>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</si>
  <si>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</si>
  <si>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</si>
  <si>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</si>
  <si>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</si>
  <si>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</si>
  <si>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</si>
  <si>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</si>
  <si>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</si>
  <si>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</si>
  <si>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</si>
  <si>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</si>
  <si>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</si>
  <si>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</si>
  <si>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</si>
  <si>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</si>
  <si>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</si>
  <si>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</si>
  <si>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</si>
  <si>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</si>
  <si>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</si>
  <si>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</si>
  <si>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</si>
  <si>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</si>
  <si>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</si>
  <si>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</si>
  <si>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</si>
  <si>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</si>
  <si>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</si>
  <si>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</si>
  <si>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</si>
  <si>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</si>
  <si>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</si>
  <si>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</si>
  <si>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</si>
  <si>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</si>
  <si>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</si>
  <si>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</si>
  <si>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</si>
  <si>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</si>
  <si>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</si>
  <si>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</si>
  <si>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</si>
  <si>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</si>
  <si>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</si>
  <si>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</si>
  <si>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</si>
  <si>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</si>
  <si>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</si>
  <si>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</si>
  <si>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</si>
  <si>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</si>
  <si>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</si>
  <si>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</si>
  <si>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</si>
  <si>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</si>
  <si>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</si>
  <si>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</si>
  <si>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</si>
  <si>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</si>
  <si>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</si>
  <si>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</si>
  <si>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</si>
  <si>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</si>
  <si>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</si>
  <si>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</si>
  <si>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</si>
  <si>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</si>
  <si>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</si>
  <si>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</si>
  <si>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</si>
  <si>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</si>
  <si>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</si>
  <si>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</si>
  <si>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</si>
  <si>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</si>
  <si>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</si>
  <si>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</si>
  <si>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</si>
  <si>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</si>
  <si>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</si>
  <si>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</si>
  <si>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</si>
  <si>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</si>
  <si>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</si>
  <si>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</si>
  <si>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</si>
  <si>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</si>
  <si>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</si>
  <si>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</si>
  <si>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</si>
  <si>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</si>
  <si>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</si>
  <si>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</si>
  <si>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</si>
  <si>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</si>
  <si>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</si>
  <si>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</si>
  <si>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</si>
  <si>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</si>
  <si>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</si>
  <si>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</si>
  <si>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</si>
  <si>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</si>
  <si>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</si>
  <si>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</si>
  <si>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</si>
  <si>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</si>
  <si>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</si>
  <si>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</si>
  <si>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P01XXX</t>
  </si>
  <si>
    <t>XXXX</t>
  </si>
  <si>
    <t>XX</t>
  </si>
  <si>
    <t>XXXXXXXXXXXXXXXX</t>
  </si>
  <si>
    <t>FLOOR WELDMENT#</t>
  </si>
  <si>
    <t>XXXXX</t>
  </si>
  <si>
    <t>FLOOR ASSEMBLY#</t>
  </si>
  <si>
    <t>C</t>
  </si>
  <si>
    <t>658 7/8”</t>
  </si>
  <si>
    <t>119 1/2"</t>
  </si>
  <si>
    <t>85 1/8"</t>
  </si>
  <si>
    <t>45 5/8"</t>
  </si>
  <si>
    <t>85 1/4"</t>
  </si>
  <si>
    <t>55"</t>
  </si>
  <si>
    <t>W24x84</t>
  </si>
  <si>
    <t>804-05136</t>
  </si>
  <si>
    <t>Beam-W24x84.0 lb/ft</t>
  </si>
  <si>
    <t>804-05137</t>
  </si>
  <si>
    <t>804-05138</t>
  </si>
  <si>
    <t>THICKNESS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</si>
</sst>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182880</xdr:rowOff>
        </xdr:from>
        <xdr:to>
          <xdr:col>13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L24" totalsRowShown="0">
  <autoFilter ref="A5:L24" xr:uid="{CDF9619B-F0E7-490D-BEFA-727196256470}"/>
  <tableColumns count="12">
    <tableColumn id="1" xr3:uid="{4774FE6E-D79F-4E40-98D1-FE10D40ABC07}" name="SL. NO." dataDxfId="16"/>
    <tableColumn id="2" xr3:uid="{9884691F-0A0D-47CB-8EF0-9AE590C29CC9}" name="PART#" dataDxfId="15" dataCellStyle="Normal 2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12" xr3:uid="{8DD2F9D1-0DB5-4761-9AB3-0677E00D02E6}" name="THICKNESS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24"/>
  <sheetViews>
    <sheetView topLeftCell="C1" zoomScale="115" zoomScaleNormal="115" workbookViewId="0">
      <selection activeCell="F12" sqref="F12"/>
    </sheetView>
  </sheetViews>
  <sheetFormatPr defaultRowHeight="14.4" x14ac:dyDescent="0.3"/>
  <cols>
    <col min="1" max="1" width="15.44140625" style="1" bestFit="1" customWidth="1"/>
    <col min="2" max="2" width="9.1093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20.33203125" style="1" bestFit="1" customWidth="1"/>
    <col min="8" max="8" width="17" style="11" bestFit="1" customWidth="1"/>
    <col min="9" max="9" width="19.6640625" style="1" bestFit="1" customWidth="1"/>
    <col min="10" max="10" width="14.5546875" style="1" bestFit="1" customWidth="1"/>
    <col min="11" max="11" width="15.33203125" style="1" bestFit="1" customWidth="1"/>
    <col min="12" max="12" width="14.5546875" style="1" bestFit="1" customWidth="1"/>
    <col min="13" max="13" width="3.88671875" style="1" hidden="1" customWidth="1"/>
    <col min="14" max="14" width="42.33203125" bestFit="1" customWidth="1"/>
    <col min="15" max="17" width="11.5546875" customWidth="1"/>
    <col min="18" max="1024" width="11.5546875" style="1" customWidth="1"/>
  </cols>
  <sheetData>
    <row r="1" spans="1:1024" x14ac:dyDescent="0.3">
      <c r="A1" s="13" t="s">
        <v>0</v>
      </c>
      <c r="B1" s="21" t="s">
        <v>124</v>
      </c>
      <c r="C1" s="21"/>
      <c r="D1" s="21"/>
      <c r="E1" s="14" t="s">
        <v>1</v>
      </c>
      <c r="F1" s="17" t="s">
        <v>125</v>
      </c>
      <c r="G1" s="18" t="s">
        <v>2</v>
      </c>
      <c r="H1" s="16" t="s">
        <v>126</v>
      </c>
      <c r="I1"/>
      <c r="J1"/>
      <c r="K1"/>
      <c r="L1"/>
      <c r="N1" s="1"/>
      <c r="O1" s="1"/>
      <c r="P1" s="1"/>
      <c r="Q1" s="1"/>
      <c r="AMF1"/>
      <c r="AMG1"/>
      <c r="AMH1"/>
      <c r="AMI1"/>
      <c r="AMJ1"/>
    </row>
    <row r="2" spans="1:1024" x14ac:dyDescent="0.3">
      <c r="A2" s="13" t="s">
        <v>3</v>
      </c>
      <c r="B2" s="22" t="s">
        <v>127</v>
      </c>
      <c r="C2" s="22"/>
      <c r="D2" s="22"/>
      <c r="E2" s="14" t="s">
        <v>4</v>
      </c>
      <c r="F2" s="17" t="s">
        <v>125</v>
      </c>
      <c r="G2" s="18" t="s">
        <v>5</v>
      </c>
      <c r="H2" s="16" t="s">
        <v>126</v>
      </c>
      <c r="I2"/>
      <c r="J2"/>
      <c r="K2"/>
      <c r="L2"/>
      <c r="N2" s="1"/>
      <c r="O2" s="1"/>
      <c r="P2" s="1"/>
      <c r="Q2" s="1"/>
      <c r="AMF2"/>
      <c r="AMG2"/>
      <c r="AMH2"/>
      <c r="AMI2"/>
      <c r="AMJ2"/>
    </row>
    <row r="3" spans="1:1024" x14ac:dyDescent="0.3">
      <c r="A3" s="15" t="s">
        <v>128</v>
      </c>
      <c r="B3" s="13" t="s">
        <v>129</v>
      </c>
      <c r="C3" s="15" t="s">
        <v>130</v>
      </c>
      <c r="D3" s="13" t="s">
        <v>129</v>
      </c>
      <c r="E3"/>
      <c r="F3"/>
      <c r="G3"/>
      <c r="H3"/>
      <c r="I3"/>
      <c r="J3"/>
      <c r="K3"/>
      <c r="L3"/>
      <c r="M3"/>
    </row>
    <row r="4" spans="1:1024" x14ac:dyDescent="0.3">
      <c r="E4" s="3"/>
    </row>
    <row r="5" spans="1:1024" ht="26.4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4" t="s">
        <v>143</v>
      </c>
      <c r="H5" s="12" t="s">
        <v>12</v>
      </c>
      <c r="I5" s="7" t="s">
        <v>13</v>
      </c>
      <c r="J5" s="7" t="s">
        <v>71</v>
      </c>
      <c r="K5" s="7" t="s">
        <v>72</v>
      </c>
      <c r="L5" s="7" t="s">
        <v>73</v>
      </c>
    </row>
    <row r="6" spans="1:1024" x14ac:dyDescent="0.3">
      <c r="A6" s="8"/>
      <c r="B6" s="19">
        <v>1615154</v>
      </c>
      <c r="C6" s="20" t="s">
        <v>122</v>
      </c>
      <c r="D6" s="20">
        <v>1</v>
      </c>
      <c r="E6" s="19" t="s">
        <v>58</v>
      </c>
      <c r="F6" s="20">
        <v>1</v>
      </c>
      <c r="G6" s="20"/>
      <c r="H6" s="20" t="s">
        <v>132</v>
      </c>
      <c r="I6" s="9"/>
      <c r="J6" s="8"/>
      <c r="K6" s="8"/>
      <c r="L6" s="8"/>
    </row>
    <row r="7" spans="1:1024" x14ac:dyDescent="0.3">
      <c r="A7" s="8"/>
      <c r="B7" s="19">
        <v>1615154</v>
      </c>
      <c r="C7" s="20" t="s">
        <v>122</v>
      </c>
      <c r="D7" s="20">
        <v>2</v>
      </c>
      <c r="E7" s="19" t="s">
        <v>58</v>
      </c>
      <c r="F7" s="20">
        <v>1</v>
      </c>
      <c r="G7" s="20"/>
      <c r="H7" s="20" t="s">
        <v>132</v>
      </c>
      <c r="I7" s="9"/>
      <c r="J7" s="8"/>
      <c r="K7" s="8"/>
      <c r="L7" s="8"/>
    </row>
    <row r="8" spans="1:1024" x14ac:dyDescent="0.3">
      <c r="A8" s="8"/>
      <c r="B8" s="19">
        <v>1615154</v>
      </c>
      <c r="C8" s="20" t="s">
        <v>122</v>
      </c>
      <c r="D8" s="20">
        <v>3</v>
      </c>
      <c r="E8" s="19" t="s">
        <v>58</v>
      </c>
      <c r="F8" s="20">
        <v>2</v>
      </c>
      <c r="G8" s="20"/>
      <c r="H8" s="20" t="s">
        <v>133</v>
      </c>
      <c r="I8" s="9"/>
      <c r="J8" s="8"/>
      <c r="K8" s="8"/>
      <c r="L8" s="8"/>
    </row>
    <row r="9" spans="1:1024" x14ac:dyDescent="0.3">
      <c r="A9" s="8"/>
      <c r="B9" s="19">
        <v>1615154</v>
      </c>
      <c r="C9" s="20" t="s">
        <v>122</v>
      </c>
      <c r="D9" s="20">
        <v>4</v>
      </c>
      <c r="E9" s="19" t="s">
        <v>58</v>
      </c>
      <c r="F9" s="20">
        <v>1</v>
      </c>
      <c r="G9" s="20"/>
      <c r="H9" s="20" t="s">
        <v>133</v>
      </c>
      <c r="I9" s="9"/>
      <c r="J9" s="8"/>
      <c r="K9" s="8"/>
      <c r="L9" s="8"/>
    </row>
    <row r="10" spans="1:1024" x14ac:dyDescent="0.3">
      <c r="A10" s="8"/>
      <c r="B10" s="19">
        <v>1615154</v>
      </c>
      <c r="C10" s="20" t="s">
        <v>122</v>
      </c>
      <c r="D10" s="20">
        <v>5</v>
      </c>
      <c r="E10" s="19" t="s">
        <v>58</v>
      </c>
      <c r="F10" s="20">
        <v>1</v>
      </c>
      <c r="G10" s="20"/>
      <c r="H10" s="20" t="s">
        <v>133</v>
      </c>
      <c r="I10" s="9"/>
      <c r="J10" s="8"/>
      <c r="K10" s="8"/>
      <c r="L10" s="8"/>
    </row>
    <row r="11" spans="1:1024" x14ac:dyDescent="0.3">
      <c r="A11" s="8"/>
      <c r="B11" s="19">
        <v>1615154</v>
      </c>
      <c r="C11" s="20" t="s">
        <v>122</v>
      </c>
      <c r="D11" s="20">
        <v>6</v>
      </c>
      <c r="E11" s="19" t="s">
        <v>58</v>
      </c>
      <c r="F11" s="20">
        <v>1</v>
      </c>
      <c r="G11" s="20"/>
      <c r="H11" s="20" t="s">
        <v>133</v>
      </c>
      <c r="I11" s="9"/>
      <c r="J11" s="8"/>
      <c r="K11" s="8"/>
      <c r="L11" s="8"/>
    </row>
    <row r="12" spans="1:1024" x14ac:dyDescent="0.3">
      <c r="A12" s="8"/>
      <c r="B12" s="19">
        <v>1615154</v>
      </c>
      <c r="C12" s="20" t="s">
        <v>123</v>
      </c>
      <c r="D12" s="20">
        <v>7</v>
      </c>
      <c r="E12" s="19" t="s">
        <v>77</v>
      </c>
      <c r="F12" s="20">
        <v>6</v>
      </c>
      <c r="G12" s="20"/>
      <c r="H12" s="20" t="s">
        <v>133</v>
      </c>
      <c r="I12" s="9"/>
      <c r="J12" s="8"/>
      <c r="K12" s="8"/>
      <c r="L12" s="8"/>
    </row>
    <row r="13" spans="1:1024" x14ac:dyDescent="0.3">
      <c r="A13" s="8"/>
      <c r="B13" s="19">
        <v>1615154</v>
      </c>
      <c r="C13" s="20" t="s">
        <v>123</v>
      </c>
      <c r="D13" s="20">
        <v>8</v>
      </c>
      <c r="E13" s="19" t="s">
        <v>77</v>
      </c>
      <c r="F13" s="20">
        <v>1</v>
      </c>
      <c r="G13" s="20"/>
      <c r="H13" s="20" t="s">
        <v>133</v>
      </c>
      <c r="I13" s="9"/>
      <c r="J13" s="8"/>
      <c r="K13" s="8"/>
      <c r="L13" s="8"/>
    </row>
    <row r="14" spans="1:1024" x14ac:dyDescent="0.3">
      <c r="A14" s="8"/>
      <c r="B14" s="19">
        <v>1615154</v>
      </c>
      <c r="C14" s="20" t="s">
        <v>123</v>
      </c>
      <c r="D14" s="20">
        <v>9</v>
      </c>
      <c r="E14" s="19" t="s">
        <v>77</v>
      </c>
      <c r="F14" s="20">
        <v>1</v>
      </c>
      <c r="G14" s="20"/>
      <c r="H14" s="20" t="s">
        <v>133</v>
      </c>
      <c r="I14" s="9"/>
      <c r="J14" s="8"/>
      <c r="K14" s="8"/>
      <c r="L14" s="8"/>
    </row>
    <row r="15" spans="1:1024" x14ac:dyDescent="0.3">
      <c r="A15" s="8"/>
      <c r="B15" s="19">
        <v>1615154</v>
      </c>
      <c r="C15" s="20" t="s">
        <v>123</v>
      </c>
      <c r="D15" s="20">
        <v>10</v>
      </c>
      <c r="E15" s="19" t="s">
        <v>77</v>
      </c>
      <c r="F15" s="20">
        <v>1</v>
      </c>
      <c r="G15" s="20"/>
      <c r="H15" s="20" t="s">
        <v>133</v>
      </c>
      <c r="I15" s="9"/>
      <c r="J15" s="8"/>
      <c r="K15" s="8"/>
      <c r="L15" s="8"/>
    </row>
    <row r="16" spans="1:1024" x14ac:dyDescent="0.3">
      <c r="A16" s="8"/>
      <c r="B16" s="19">
        <v>1615154</v>
      </c>
      <c r="C16" s="20" t="s">
        <v>123</v>
      </c>
      <c r="D16" s="20">
        <v>11</v>
      </c>
      <c r="E16" s="19" t="s">
        <v>77</v>
      </c>
      <c r="F16" s="20">
        <v>1</v>
      </c>
      <c r="G16" s="20"/>
      <c r="H16" s="20" t="s">
        <v>133</v>
      </c>
      <c r="I16" s="9"/>
      <c r="J16" s="8"/>
      <c r="K16" s="8"/>
      <c r="L16" s="8"/>
    </row>
    <row r="17" spans="1:12" x14ac:dyDescent="0.3">
      <c r="A17" s="8"/>
      <c r="B17" s="19">
        <v>1615154</v>
      </c>
      <c r="C17" s="20" t="s">
        <v>123</v>
      </c>
      <c r="D17" s="20">
        <v>12</v>
      </c>
      <c r="E17" s="19" t="s">
        <v>77</v>
      </c>
      <c r="F17" s="20">
        <v>2</v>
      </c>
      <c r="G17" s="20"/>
      <c r="H17" s="20" t="s">
        <v>134</v>
      </c>
      <c r="I17" s="9"/>
      <c r="J17" s="8"/>
      <c r="K17" s="8"/>
      <c r="L17" s="8"/>
    </row>
    <row r="18" spans="1:12" x14ac:dyDescent="0.3">
      <c r="A18" s="8"/>
      <c r="B18" s="19">
        <v>1615154</v>
      </c>
      <c r="C18" s="20" t="s">
        <v>123</v>
      </c>
      <c r="D18" s="20">
        <v>13</v>
      </c>
      <c r="E18" s="19" t="s">
        <v>77</v>
      </c>
      <c r="F18" s="20">
        <v>1</v>
      </c>
      <c r="G18" s="20"/>
      <c r="H18" s="20" t="s">
        <v>135</v>
      </c>
      <c r="I18" s="9"/>
      <c r="J18" s="8"/>
      <c r="K18" s="8"/>
      <c r="L18" s="8"/>
    </row>
    <row r="19" spans="1:12" x14ac:dyDescent="0.3">
      <c r="A19" s="8"/>
      <c r="B19" s="19">
        <v>1615154</v>
      </c>
      <c r="C19" s="20" t="s">
        <v>123</v>
      </c>
      <c r="D19" s="20">
        <v>14</v>
      </c>
      <c r="E19" s="19" t="s">
        <v>77</v>
      </c>
      <c r="F19" s="20">
        <v>1</v>
      </c>
      <c r="G19" s="20"/>
      <c r="H19" s="20" t="s">
        <v>135</v>
      </c>
      <c r="I19" s="9"/>
      <c r="J19" s="8"/>
      <c r="K19" s="8"/>
      <c r="L19" s="8"/>
    </row>
    <row r="20" spans="1:12" x14ac:dyDescent="0.3">
      <c r="A20" s="8"/>
      <c r="B20" s="19">
        <v>1615154</v>
      </c>
      <c r="C20" s="20" t="s">
        <v>131</v>
      </c>
      <c r="D20" s="20">
        <v>15</v>
      </c>
      <c r="E20" s="19" t="s">
        <v>79</v>
      </c>
      <c r="F20" s="20">
        <v>4</v>
      </c>
      <c r="G20" s="20"/>
      <c r="H20" s="20" t="s">
        <v>133</v>
      </c>
      <c r="I20" s="9"/>
      <c r="J20" s="8"/>
      <c r="K20" s="8"/>
      <c r="L20" s="8"/>
    </row>
    <row r="21" spans="1:12" x14ac:dyDescent="0.3">
      <c r="A21" s="8"/>
      <c r="B21" s="19">
        <v>1615154</v>
      </c>
      <c r="C21" s="20" t="s">
        <v>131</v>
      </c>
      <c r="D21" s="20">
        <v>16</v>
      </c>
      <c r="E21" s="19" t="s">
        <v>79</v>
      </c>
      <c r="F21" s="20">
        <v>1</v>
      </c>
      <c r="G21" s="20"/>
      <c r="H21" s="20" t="s">
        <v>133</v>
      </c>
      <c r="I21" s="9"/>
      <c r="J21" s="8"/>
      <c r="K21" s="8"/>
      <c r="L21" s="8"/>
    </row>
    <row r="22" spans="1:12" x14ac:dyDescent="0.3">
      <c r="A22" s="8"/>
      <c r="B22" s="19">
        <v>1615154</v>
      </c>
      <c r="C22" s="20" t="s">
        <v>131</v>
      </c>
      <c r="D22" s="20">
        <v>17</v>
      </c>
      <c r="E22" s="19" t="s">
        <v>79</v>
      </c>
      <c r="F22" s="20">
        <v>1</v>
      </c>
      <c r="G22" s="20"/>
      <c r="H22" s="20" t="s">
        <v>133</v>
      </c>
      <c r="I22" s="9"/>
      <c r="J22" s="8"/>
      <c r="K22" s="8"/>
      <c r="L22" s="8"/>
    </row>
    <row r="23" spans="1:12" x14ac:dyDescent="0.3">
      <c r="A23" s="8"/>
      <c r="B23" s="19">
        <v>1615154</v>
      </c>
      <c r="C23" s="20" t="s">
        <v>131</v>
      </c>
      <c r="D23" s="20">
        <v>18</v>
      </c>
      <c r="E23" s="19" t="s">
        <v>79</v>
      </c>
      <c r="F23" s="20">
        <v>1</v>
      </c>
      <c r="G23" s="20"/>
      <c r="H23" s="20" t="s">
        <v>136</v>
      </c>
      <c r="I23" s="9"/>
      <c r="J23" s="8"/>
      <c r="K23" s="8"/>
      <c r="L23" s="8"/>
    </row>
    <row r="24" spans="1:12" x14ac:dyDescent="0.3">
      <c r="A24" s="8"/>
      <c r="B24" s="19">
        <v>1615154</v>
      </c>
      <c r="C24" s="20" t="s">
        <v>131</v>
      </c>
      <c r="D24" s="20">
        <v>19</v>
      </c>
      <c r="E24" s="19" t="s">
        <v>79</v>
      </c>
      <c r="F24" s="20">
        <v>1</v>
      </c>
      <c r="G24" s="20"/>
      <c r="H24" s="20" t="s">
        <v>137</v>
      </c>
      <c r="I24" s="9"/>
      <c r="J24" s="8"/>
      <c r="K24" s="8"/>
      <c r="L24" s="8"/>
    </row>
  </sheetData>
  <dataConsolidate/>
  <mergeCells count="2">
    <mergeCell ref="B1:D1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3</xdr:row>
                    <xdr:rowOff>182880</xdr:rowOff>
                  </from>
                  <to>
                    <xdr:col>13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dimension ref="A1:F51"/>
  <sheetViews>
    <sheetView tabSelected="1" topLeftCell="A28" zoomScale="130" zoomScaleNormal="130" workbookViewId="0">
      <selection activeCell="F45" sqref="F45"/>
    </sheetView>
  </sheetViews>
  <sheetFormatPr defaultColWidth="8.88671875" defaultRowHeight="14.4" x14ac:dyDescent="0.2"/>
  <cols>
    <col min="1" max="1" width="38.44140625" style="6" bestFit="1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ht="10.199999999999999" x14ac:dyDescent="0.2">
      <c r="A1" s="6" t="s">
        <v>65</v>
      </c>
      <c r="B1" s="6" t="s">
        <v>66</v>
      </c>
      <c r="C1" s="6" t="s">
        <v>67</v>
      </c>
      <c r="D1" s="6" t="s">
        <v>68</v>
      </c>
      <c r="E1" s="6" t="s">
        <v>69</v>
      </c>
      <c r="F1" s="6" t="s">
        <v>70</v>
      </c>
    </row>
    <row r="2" spans="1:6" ht="10.199999999999999" x14ac:dyDescent="0.2">
      <c r="A2" s="6" t="s">
        <v>57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ht="10.199999999999999" x14ac:dyDescent="0.2">
      <c r="A3" s="6" t="s">
        <v>78</v>
      </c>
      <c r="B3" s="6">
        <v>600</v>
      </c>
      <c r="C3" s="6" t="s">
        <v>19</v>
      </c>
      <c r="D3" s="6">
        <f t="shared" ref="D3:D43" si="0">B3/12</f>
        <v>50</v>
      </c>
      <c r="E3" s="6" t="s">
        <v>18</v>
      </c>
      <c r="F3" s="6" t="s">
        <v>20</v>
      </c>
    </row>
    <row r="4" spans="1:6" ht="10.199999999999999" x14ac:dyDescent="0.2">
      <c r="A4" s="6" t="s">
        <v>79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ht="10.199999999999999" x14ac:dyDescent="0.2">
      <c r="A5" s="6" t="s">
        <v>77</v>
      </c>
      <c r="B5" s="6">
        <v>764</v>
      </c>
      <c r="C5" s="6" t="s">
        <v>104</v>
      </c>
      <c r="D5" s="10">
        <f t="shared" si="0"/>
        <v>63.666666666666664</v>
      </c>
      <c r="E5" s="6" t="s">
        <v>18</v>
      </c>
      <c r="F5" s="6" t="s">
        <v>23</v>
      </c>
    </row>
    <row r="6" spans="1:6" ht="10.199999999999999" x14ac:dyDescent="0.2">
      <c r="A6" s="6" t="s">
        <v>77</v>
      </c>
      <c r="B6" s="6">
        <v>728</v>
      </c>
      <c r="C6" s="6" t="s">
        <v>105</v>
      </c>
      <c r="D6" s="10">
        <f t="shared" si="0"/>
        <v>60.666666666666664</v>
      </c>
      <c r="E6" s="6" t="s">
        <v>18</v>
      </c>
      <c r="F6" s="6" t="s">
        <v>23</v>
      </c>
    </row>
    <row r="7" spans="1:6" ht="10.199999999999999" x14ac:dyDescent="0.2">
      <c r="A7" s="6" t="s">
        <v>77</v>
      </c>
      <c r="B7" s="6">
        <v>688</v>
      </c>
      <c r="C7" s="6" t="s">
        <v>106</v>
      </c>
      <c r="D7" s="10">
        <f t="shared" si="0"/>
        <v>57.333333333333336</v>
      </c>
      <c r="E7" s="6" t="s">
        <v>18</v>
      </c>
      <c r="F7" s="6" t="s">
        <v>23</v>
      </c>
    </row>
    <row r="8" spans="1:6" ht="10.199999999999999" x14ac:dyDescent="0.2">
      <c r="A8" s="6" t="s">
        <v>77</v>
      </c>
      <c r="B8" s="6">
        <v>604</v>
      </c>
      <c r="C8" s="6" t="s">
        <v>107</v>
      </c>
      <c r="D8" s="10">
        <f t="shared" si="0"/>
        <v>50.333333333333336</v>
      </c>
      <c r="E8" s="6" t="s">
        <v>18</v>
      </c>
      <c r="F8" s="6" t="s">
        <v>23</v>
      </c>
    </row>
    <row r="9" spans="1:6" ht="10.199999999999999" x14ac:dyDescent="0.2">
      <c r="A9" s="6" t="s">
        <v>77</v>
      </c>
      <c r="B9" s="6">
        <v>340</v>
      </c>
      <c r="C9" s="6" t="s">
        <v>108</v>
      </c>
      <c r="D9" s="10">
        <f t="shared" si="0"/>
        <v>28.333333333333332</v>
      </c>
      <c r="E9" s="6" t="s">
        <v>18</v>
      </c>
      <c r="F9" s="6" t="s">
        <v>23</v>
      </c>
    </row>
    <row r="10" spans="1:6" ht="10.199999999999999" x14ac:dyDescent="0.2">
      <c r="A10" s="6" t="s">
        <v>77</v>
      </c>
      <c r="B10" s="6">
        <v>332</v>
      </c>
      <c r="C10" s="6" t="s">
        <v>109</v>
      </c>
      <c r="D10" s="10">
        <f t="shared" si="0"/>
        <v>27.666666666666668</v>
      </c>
      <c r="E10" s="6" t="s">
        <v>18</v>
      </c>
      <c r="F10" s="6" t="s">
        <v>23</v>
      </c>
    </row>
    <row r="11" spans="1:6" ht="10.199999999999999" x14ac:dyDescent="0.2">
      <c r="A11" s="6" t="s">
        <v>77</v>
      </c>
      <c r="B11" s="6">
        <v>308</v>
      </c>
      <c r="C11" s="6" t="s">
        <v>110</v>
      </c>
      <c r="D11" s="10">
        <f t="shared" si="0"/>
        <v>25.666666666666668</v>
      </c>
      <c r="E11" s="6" t="s">
        <v>18</v>
      </c>
      <c r="F11" s="6" t="s">
        <v>23</v>
      </c>
    </row>
    <row r="12" spans="1:6" ht="10.199999999999999" x14ac:dyDescent="0.2">
      <c r="A12" s="6" t="s">
        <v>76</v>
      </c>
      <c r="B12" s="6">
        <v>720</v>
      </c>
      <c r="C12" s="6" t="s">
        <v>14</v>
      </c>
      <c r="D12" s="6">
        <f t="shared" si="0"/>
        <v>60</v>
      </c>
      <c r="E12" s="6" t="s">
        <v>18</v>
      </c>
      <c r="F12" s="6" t="s">
        <v>24</v>
      </c>
    </row>
    <row r="13" spans="1:6" ht="10.199999999999999" x14ac:dyDescent="0.2">
      <c r="A13" s="6" t="s">
        <v>76</v>
      </c>
      <c r="B13" s="6">
        <v>700</v>
      </c>
      <c r="C13" s="6" t="s">
        <v>111</v>
      </c>
      <c r="D13" s="10">
        <f t="shared" si="0"/>
        <v>58.333333333333336</v>
      </c>
      <c r="E13" s="6" t="s">
        <v>18</v>
      </c>
      <c r="F13" s="6" t="s">
        <v>24</v>
      </c>
    </row>
    <row r="14" spans="1:6" ht="10.199999999999999" x14ac:dyDescent="0.2">
      <c r="A14" s="6" t="s">
        <v>76</v>
      </c>
      <c r="B14" s="6">
        <v>816</v>
      </c>
      <c r="C14" s="6" t="s">
        <v>141</v>
      </c>
      <c r="D14" s="10">
        <f t="shared" si="0"/>
        <v>68</v>
      </c>
      <c r="E14" s="6" t="s">
        <v>18</v>
      </c>
      <c r="F14" s="6" t="s">
        <v>24</v>
      </c>
    </row>
    <row r="15" spans="1:6" ht="10.199999999999999" x14ac:dyDescent="0.2">
      <c r="A15" s="6" t="s">
        <v>138</v>
      </c>
      <c r="B15" s="6">
        <v>816</v>
      </c>
      <c r="C15" s="6" t="s">
        <v>139</v>
      </c>
      <c r="D15" s="10">
        <f t="shared" si="0"/>
        <v>68</v>
      </c>
      <c r="E15" s="6" t="s">
        <v>18</v>
      </c>
      <c r="F15" s="6" t="s">
        <v>140</v>
      </c>
    </row>
    <row r="16" spans="1:6" ht="10.199999999999999" x14ac:dyDescent="0.2">
      <c r="A16" s="6" t="s">
        <v>58</v>
      </c>
      <c r="B16" s="6">
        <v>804</v>
      </c>
      <c r="C16" s="6" t="s">
        <v>112</v>
      </c>
      <c r="D16" s="6">
        <f t="shared" si="0"/>
        <v>67</v>
      </c>
      <c r="E16" s="6" t="s">
        <v>18</v>
      </c>
      <c r="F16" s="6" t="s">
        <v>26</v>
      </c>
    </row>
    <row r="17" spans="1:6" ht="10.199999999999999" x14ac:dyDescent="0.2">
      <c r="A17" s="6" t="s">
        <v>58</v>
      </c>
      <c r="B17" s="6">
        <v>756</v>
      </c>
      <c r="C17" s="6" t="s">
        <v>113</v>
      </c>
      <c r="D17" s="6">
        <f t="shared" si="0"/>
        <v>63</v>
      </c>
      <c r="E17" s="6" t="s">
        <v>18</v>
      </c>
      <c r="F17" s="6" t="s">
        <v>26</v>
      </c>
    </row>
    <row r="18" spans="1:6" ht="10.199999999999999" x14ac:dyDescent="0.2">
      <c r="A18" s="6" t="s">
        <v>58</v>
      </c>
      <c r="B18" s="6">
        <v>732</v>
      </c>
      <c r="C18" s="6" t="s">
        <v>114</v>
      </c>
      <c r="D18" s="6">
        <f t="shared" si="0"/>
        <v>61</v>
      </c>
      <c r="E18" s="6" t="s">
        <v>18</v>
      </c>
      <c r="F18" s="6" t="s">
        <v>26</v>
      </c>
    </row>
    <row r="19" spans="1:6" ht="10.199999999999999" x14ac:dyDescent="0.2">
      <c r="A19" s="6" t="s">
        <v>58</v>
      </c>
      <c r="B19" s="6">
        <v>720</v>
      </c>
      <c r="C19" s="6" t="s">
        <v>25</v>
      </c>
      <c r="D19" s="6">
        <f t="shared" si="0"/>
        <v>60</v>
      </c>
      <c r="E19" s="6" t="s">
        <v>18</v>
      </c>
      <c r="F19" s="6" t="s">
        <v>26</v>
      </c>
    </row>
    <row r="20" spans="1:6" ht="10.199999999999999" x14ac:dyDescent="0.2">
      <c r="A20" s="6" t="s">
        <v>58</v>
      </c>
      <c r="B20" s="6">
        <v>692</v>
      </c>
      <c r="C20" s="6" t="s">
        <v>115</v>
      </c>
      <c r="D20" s="10">
        <f t="shared" si="0"/>
        <v>57.666666666666664</v>
      </c>
      <c r="E20" s="6" t="s">
        <v>18</v>
      </c>
      <c r="F20" s="6" t="s">
        <v>26</v>
      </c>
    </row>
    <row r="21" spans="1:6" ht="10.199999999999999" x14ac:dyDescent="0.2">
      <c r="A21" s="6" t="s">
        <v>58</v>
      </c>
      <c r="B21" s="6">
        <v>672</v>
      </c>
      <c r="C21" s="6" t="s">
        <v>116</v>
      </c>
      <c r="D21" s="6">
        <f t="shared" si="0"/>
        <v>56</v>
      </c>
      <c r="E21" s="6" t="s">
        <v>18</v>
      </c>
      <c r="F21" s="6" t="s">
        <v>26</v>
      </c>
    </row>
    <row r="22" spans="1:6" ht="10.199999999999999" x14ac:dyDescent="0.2">
      <c r="A22" s="6" t="s">
        <v>58</v>
      </c>
      <c r="B22" s="6">
        <v>580</v>
      </c>
      <c r="C22" s="6" t="s">
        <v>117</v>
      </c>
      <c r="D22" s="10">
        <f t="shared" si="0"/>
        <v>48.333333333333336</v>
      </c>
      <c r="E22" s="6" t="s">
        <v>18</v>
      </c>
      <c r="F22" s="6" t="s">
        <v>26</v>
      </c>
    </row>
    <row r="23" spans="1:6" ht="10.199999999999999" x14ac:dyDescent="0.2">
      <c r="A23" s="6" t="s">
        <v>58</v>
      </c>
      <c r="B23" s="6">
        <v>568</v>
      </c>
      <c r="C23" s="6" t="s">
        <v>118</v>
      </c>
      <c r="D23" s="10">
        <f t="shared" si="0"/>
        <v>47.333333333333336</v>
      </c>
      <c r="E23" s="6" t="s">
        <v>18</v>
      </c>
      <c r="F23" s="6" t="s">
        <v>26</v>
      </c>
    </row>
    <row r="24" spans="1:6" ht="10.199999999999999" x14ac:dyDescent="0.2">
      <c r="A24" s="6" t="s">
        <v>58</v>
      </c>
      <c r="B24" s="6">
        <v>460</v>
      </c>
      <c r="C24" s="6" t="s">
        <v>119</v>
      </c>
      <c r="D24" s="10">
        <f t="shared" si="0"/>
        <v>38.333333333333336</v>
      </c>
      <c r="E24" s="6" t="s">
        <v>18</v>
      </c>
      <c r="F24" s="6" t="s">
        <v>26</v>
      </c>
    </row>
    <row r="25" spans="1:6" ht="10.199999999999999" x14ac:dyDescent="0.2">
      <c r="A25" s="6" t="s">
        <v>58</v>
      </c>
      <c r="B25" s="6">
        <v>440</v>
      </c>
      <c r="C25" s="6" t="s">
        <v>120</v>
      </c>
      <c r="D25" s="10">
        <f t="shared" si="0"/>
        <v>36.666666666666664</v>
      </c>
      <c r="E25" s="6" t="s">
        <v>18</v>
      </c>
      <c r="F25" s="6" t="s">
        <v>26</v>
      </c>
    </row>
    <row r="26" spans="1:6" ht="10.199999999999999" x14ac:dyDescent="0.2">
      <c r="A26" s="6" t="s">
        <v>58</v>
      </c>
      <c r="B26" s="6">
        <v>424</v>
      </c>
      <c r="C26" s="6" t="s">
        <v>121</v>
      </c>
      <c r="D26" s="10">
        <f t="shared" si="0"/>
        <v>35.333333333333336</v>
      </c>
      <c r="E26" s="6" t="s">
        <v>18</v>
      </c>
      <c r="F26" s="6" t="s">
        <v>26</v>
      </c>
    </row>
    <row r="27" spans="1:6" ht="10.199999999999999" x14ac:dyDescent="0.2">
      <c r="A27" s="6" t="s">
        <v>59</v>
      </c>
      <c r="B27" s="6">
        <v>480</v>
      </c>
      <c r="C27" s="6" t="s">
        <v>27</v>
      </c>
      <c r="D27" s="6">
        <f t="shared" si="0"/>
        <v>40</v>
      </c>
      <c r="E27" s="6" t="s">
        <v>18</v>
      </c>
      <c r="F27" s="6" t="s">
        <v>28</v>
      </c>
    </row>
    <row r="28" spans="1:6" ht="10.199999999999999" x14ac:dyDescent="0.2">
      <c r="A28" s="6" t="s">
        <v>80</v>
      </c>
      <c r="B28" s="6">
        <v>480</v>
      </c>
      <c r="C28" s="6" t="s">
        <v>29</v>
      </c>
      <c r="D28" s="6">
        <f t="shared" si="0"/>
        <v>40</v>
      </c>
      <c r="E28" s="6" t="s">
        <v>18</v>
      </c>
      <c r="F28" s="6" t="s">
        <v>30</v>
      </c>
    </row>
    <row r="29" spans="1:6" ht="10.199999999999999" x14ac:dyDescent="0.2">
      <c r="A29" s="6" t="s">
        <v>60</v>
      </c>
      <c r="B29" s="6">
        <v>480</v>
      </c>
      <c r="C29" s="6" t="s">
        <v>31</v>
      </c>
      <c r="D29" s="6">
        <f t="shared" si="0"/>
        <v>40</v>
      </c>
      <c r="E29" s="6" t="s">
        <v>18</v>
      </c>
      <c r="F29" s="6" t="s">
        <v>32</v>
      </c>
    </row>
    <row r="30" spans="1:6" ht="10.199999999999999" x14ac:dyDescent="0.2">
      <c r="A30" s="6" t="s">
        <v>61</v>
      </c>
      <c r="B30" s="6">
        <v>600</v>
      </c>
      <c r="C30" s="6" t="s">
        <v>15</v>
      </c>
      <c r="D30" s="6">
        <f t="shared" si="0"/>
        <v>50</v>
      </c>
      <c r="E30" s="6" t="s">
        <v>18</v>
      </c>
      <c r="F30" s="6" t="s">
        <v>33</v>
      </c>
    </row>
    <row r="31" spans="1:6" ht="10.199999999999999" x14ac:dyDescent="0.2">
      <c r="A31" s="6" t="s">
        <v>75</v>
      </c>
      <c r="B31" s="6">
        <v>480</v>
      </c>
      <c r="C31" s="6" t="s">
        <v>34</v>
      </c>
      <c r="D31" s="6">
        <f t="shared" si="0"/>
        <v>40</v>
      </c>
      <c r="E31" s="6" t="s">
        <v>18</v>
      </c>
      <c r="F31" s="6" t="s">
        <v>35</v>
      </c>
    </row>
    <row r="32" spans="1:6" ht="10.199999999999999" x14ac:dyDescent="0.2">
      <c r="A32" s="6" t="s">
        <v>62</v>
      </c>
      <c r="B32" s="6">
        <v>480</v>
      </c>
      <c r="C32" s="6" t="s">
        <v>36</v>
      </c>
      <c r="D32" s="6">
        <f t="shared" si="0"/>
        <v>40</v>
      </c>
      <c r="E32" s="6" t="s">
        <v>18</v>
      </c>
      <c r="F32" s="6" t="s">
        <v>37</v>
      </c>
    </row>
    <row r="33" spans="1:6" ht="10.199999999999999" x14ac:dyDescent="0.2">
      <c r="A33" s="6" t="s">
        <v>63</v>
      </c>
      <c r="B33" s="6">
        <v>480</v>
      </c>
      <c r="C33" s="6" t="s">
        <v>38</v>
      </c>
      <c r="D33" s="6">
        <f t="shared" si="0"/>
        <v>40</v>
      </c>
      <c r="E33" s="6" t="s">
        <v>18</v>
      </c>
      <c r="F33" s="6" t="s">
        <v>39</v>
      </c>
    </row>
    <row r="34" spans="1:6" ht="10.199999999999999" x14ac:dyDescent="0.2">
      <c r="A34" s="6" t="s">
        <v>81</v>
      </c>
      <c r="B34" s="6">
        <v>720</v>
      </c>
      <c r="C34" s="6" t="s">
        <v>40</v>
      </c>
      <c r="D34" s="6">
        <f t="shared" si="0"/>
        <v>60</v>
      </c>
      <c r="E34" s="6" t="s">
        <v>18</v>
      </c>
      <c r="F34" s="6" t="s">
        <v>41</v>
      </c>
    </row>
    <row r="35" spans="1:6" ht="10.199999999999999" x14ac:dyDescent="0.2">
      <c r="A35" s="6" t="s">
        <v>81</v>
      </c>
      <c r="B35" s="6">
        <v>816</v>
      </c>
      <c r="C35" s="6" t="s">
        <v>142</v>
      </c>
      <c r="D35" s="6">
        <f t="shared" si="0"/>
        <v>68</v>
      </c>
      <c r="E35" s="6" t="s">
        <v>18</v>
      </c>
      <c r="F35" s="6" t="s">
        <v>41</v>
      </c>
    </row>
    <row r="36" spans="1:6" ht="10.199999999999999" x14ac:dyDescent="0.2">
      <c r="A36" s="6" t="s">
        <v>64</v>
      </c>
      <c r="B36" s="6">
        <v>720</v>
      </c>
      <c r="C36" s="6" t="s">
        <v>42</v>
      </c>
      <c r="D36" s="6">
        <f t="shared" si="0"/>
        <v>60</v>
      </c>
      <c r="E36" s="6" t="s">
        <v>18</v>
      </c>
      <c r="F36" s="6" t="s">
        <v>43</v>
      </c>
    </row>
    <row r="37" spans="1:6" ht="10.199999999999999" x14ac:dyDescent="0.2">
      <c r="A37" s="6" t="s">
        <v>74</v>
      </c>
      <c r="B37" s="6">
        <v>240</v>
      </c>
      <c r="C37" s="6" t="s">
        <v>44</v>
      </c>
      <c r="D37" s="6">
        <f t="shared" si="0"/>
        <v>20</v>
      </c>
      <c r="E37" s="6" t="s">
        <v>18</v>
      </c>
      <c r="F37" s="6" t="s">
        <v>45</v>
      </c>
    </row>
    <row r="38" spans="1:6" ht="10.199999999999999" x14ac:dyDescent="0.2">
      <c r="A38" s="6" t="s">
        <v>87</v>
      </c>
      <c r="B38" s="6">
        <f>D38*12</f>
        <v>480</v>
      </c>
      <c r="C38" s="6" t="s">
        <v>46</v>
      </c>
      <c r="D38" s="6">
        <v>40</v>
      </c>
      <c r="E38" s="6" t="s">
        <v>18</v>
      </c>
      <c r="F38" s="6" t="s">
        <v>47</v>
      </c>
    </row>
    <row r="39" spans="1:6" ht="10.199999999999999" x14ac:dyDescent="0.2">
      <c r="A39" s="6" t="s">
        <v>82</v>
      </c>
      <c r="B39" s="6">
        <v>480</v>
      </c>
      <c r="C39" s="6" t="s">
        <v>48</v>
      </c>
      <c r="D39" s="6">
        <f t="shared" si="0"/>
        <v>40</v>
      </c>
      <c r="E39" s="6" t="s">
        <v>18</v>
      </c>
      <c r="F39" s="6" t="s">
        <v>49</v>
      </c>
    </row>
    <row r="40" spans="1:6" ht="10.199999999999999" x14ac:dyDescent="0.2">
      <c r="A40" s="6" t="s">
        <v>84</v>
      </c>
      <c r="B40" s="6">
        <v>480</v>
      </c>
      <c r="C40" s="6" t="s">
        <v>50</v>
      </c>
      <c r="D40" s="6">
        <f t="shared" si="0"/>
        <v>40</v>
      </c>
      <c r="E40" s="6" t="s">
        <v>18</v>
      </c>
      <c r="F40" s="6" t="s">
        <v>51</v>
      </c>
    </row>
    <row r="41" spans="1:6" ht="10.199999999999999" x14ac:dyDescent="0.2">
      <c r="A41" s="6" t="s">
        <v>83</v>
      </c>
      <c r="B41" s="6">
        <v>576</v>
      </c>
      <c r="C41" s="6" t="s">
        <v>52</v>
      </c>
      <c r="D41" s="6">
        <f t="shared" si="0"/>
        <v>48</v>
      </c>
      <c r="E41" s="6" t="s">
        <v>18</v>
      </c>
      <c r="F41" s="6" t="s">
        <v>53</v>
      </c>
    </row>
    <row r="42" spans="1:6" ht="10.199999999999999" x14ac:dyDescent="0.2">
      <c r="A42" s="6" t="s">
        <v>101</v>
      </c>
      <c r="B42" s="6">
        <v>480</v>
      </c>
      <c r="C42" s="6" t="s">
        <v>102</v>
      </c>
      <c r="D42" s="6">
        <v>40</v>
      </c>
      <c r="E42" s="6" t="s">
        <v>18</v>
      </c>
      <c r="F42" s="6" t="s">
        <v>103</v>
      </c>
    </row>
    <row r="43" spans="1:6" ht="10.199999999999999" x14ac:dyDescent="0.2">
      <c r="A43" s="6" t="s">
        <v>85</v>
      </c>
      <c r="B43" s="6">
        <v>240</v>
      </c>
      <c r="C43" s="6" t="s">
        <v>54</v>
      </c>
      <c r="D43" s="6">
        <f t="shared" si="0"/>
        <v>20</v>
      </c>
      <c r="E43" s="6" t="s">
        <v>18</v>
      </c>
      <c r="F43" s="6" t="s">
        <v>88</v>
      </c>
    </row>
    <row r="44" spans="1:6" ht="10.199999999999999" x14ac:dyDescent="0.2">
      <c r="A44" s="6" t="s">
        <v>86</v>
      </c>
      <c r="B44" s="6">
        <f t="shared" ref="B44" si="1">D44*12</f>
        <v>480</v>
      </c>
      <c r="C44" s="6" t="s">
        <v>55</v>
      </c>
      <c r="D44" s="6">
        <v>40</v>
      </c>
      <c r="E44" s="6" t="s">
        <v>18</v>
      </c>
      <c r="F44" s="6" t="s">
        <v>56</v>
      </c>
    </row>
    <row r="45" spans="1:6" ht="10.199999999999999" x14ac:dyDescent="0.2">
      <c r="A45" s="6" t="s">
        <v>95</v>
      </c>
      <c r="B45" s="6">
        <f>D45*12</f>
        <v>240</v>
      </c>
      <c r="C45" s="6" t="s">
        <v>89</v>
      </c>
      <c r="D45" s="6">
        <v>20</v>
      </c>
      <c r="E45" s="6" t="s">
        <v>18</v>
      </c>
      <c r="F45" s="6" t="s">
        <v>90</v>
      </c>
    </row>
    <row r="46" spans="1:6" ht="10.199999999999999" x14ac:dyDescent="0.2">
      <c r="A46" s="6" t="s">
        <v>96</v>
      </c>
      <c r="B46" s="6">
        <f t="shared" ref="B46:B48" si="2">D46*12</f>
        <v>240</v>
      </c>
      <c r="C46" s="6" t="s">
        <v>91</v>
      </c>
      <c r="D46" s="6">
        <v>20</v>
      </c>
      <c r="E46" s="6" t="s">
        <v>18</v>
      </c>
      <c r="F46" s="6" t="s">
        <v>92</v>
      </c>
    </row>
    <row r="47" spans="1:6" ht="10.199999999999999" x14ac:dyDescent="0.2">
      <c r="A47" s="6" t="s">
        <v>97</v>
      </c>
      <c r="B47" s="6">
        <f t="shared" si="2"/>
        <v>252</v>
      </c>
      <c r="C47" s="6" t="s">
        <v>93</v>
      </c>
      <c r="D47" s="6">
        <v>21</v>
      </c>
      <c r="E47" s="6" t="s">
        <v>18</v>
      </c>
      <c r="F47" s="6" t="s">
        <v>94</v>
      </c>
    </row>
    <row r="48" spans="1:6" ht="10.199999999999999" x14ac:dyDescent="0.2">
      <c r="A48" s="6" t="s">
        <v>99</v>
      </c>
      <c r="B48" s="6">
        <f t="shared" si="2"/>
        <v>240</v>
      </c>
      <c r="C48" s="6" t="s">
        <v>98</v>
      </c>
      <c r="D48" s="6">
        <v>20</v>
      </c>
      <c r="E48" s="6" t="s">
        <v>18</v>
      </c>
      <c r="F48" s="6" t="s">
        <v>100</v>
      </c>
    </row>
    <row r="50" ht="10.199999999999999" x14ac:dyDescent="0.2"/>
    <row r="51" ht="10.199999999999999" x14ac:dyDescent="0.2"/>
  </sheetData>
  <conditionalFormatting sqref="C56:C61">
    <cfRule type="duplicateValues" dxfId="4" priority="4"/>
  </conditionalFormatting>
  <conditionalFormatting sqref="C43:C47 C41 C1:C37">
    <cfRule type="duplicateValues" dxfId="3" priority="3"/>
  </conditionalFormatting>
  <conditionalFormatting sqref="C38">
    <cfRule type="duplicateValues" dxfId="2" priority="2"/>
  </conditionalFormatting>
  <conditionalFormatting sqref="C39:C40">
    <cfRule type="duplicateValues" dxfId="1" priority="1"/>
  </conditionalFormatting>
  <conditionalFormatting sqref="C89:C90 C50:C55 C42 C101:C1048576">
    <cfRule type="duplicat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 Sakthivel</cp:lastModifiedBy>
  <cp:lastPrinted>2024-01-29T10:01:32Z</cp:lastPrinted>
  <dcterms:created xsi:type="dcterms:W3CDTF">2015-06-05T18:17:20Z</dcterms:created>
  <dcterms:modified xsi:type="dcterms:W3CDTF">2024-03-01T05:40:48Z</dcterms:modified>
</cp:coreProperties>
</file>