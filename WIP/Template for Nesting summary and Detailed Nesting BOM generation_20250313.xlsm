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IN-2\Documents\GD Macros\WIP\"/>
    </mc:Choice>
  </mc:AlternateContent>
  <xr:revisionPtr revIDLastSave="0" documentId="13_ncr:1_{80077360-BECC-4835-AA9D-8BC28D342528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0" r:id="rId2"/>
    <sheet name="NestingSummary" sheetId="26" r:id="rId3"/>
  </sheets>
  <functionGroups builtInGroupCount="19"/>
  <definedNames>
    <definedName name="_xlnm.Print_Titles" localSheetId="2">NestingSummary!$6:$6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" i="20" l="1"/>
  <c r="D43" i="20"/>
  <c r="D31" i="20"/>
  <c r="D4" i="20"/>
</calcChain>
</file>

<file path=xl/sharedStrings.xml><?xml version="1.0" encoding="utf-8"?>
<sst xmlns="http://schemas.openxmlformats.org/spreadsheetml/2006/main" count="386" uniqueCount="192">
  <si>
    <t>PROJECT#</t>
  </si>
  <si>
    <t>REVISION</t>
  </si>
  <si>
    <t>SUBMITTED BY</t>
  </si>
  <si>
    <t>PROJECT NAME</t>
  </si>
  <si>
    <t>DATE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</si>
  <si>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</si>
  <si>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</si>
  <si>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</si>
  <si>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</si>
  <si>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</si>
  <si>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</si>
  <si>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</si>
  <si>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</si>
  <si>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FT</t>
  </si>
  <si>
    <t>Beam-W6x9.0 lb/ft</t>
  </si>
  <si>
    <t>Beam-W8x10.0 lb/ft</t>
  </si>
  <si>
    <t>Beam-W10x17.0 lb/ft</t>
  </si>
  <si>
    <t>Beam-W12x30.0 lb/ft</t>
  </si>
  <si>
    <t>Beam-W18x50 lb/ft</t>
  </si>
  <si>
    <t>Channel, C6x8.2</t>
  </si>
  <si>
    <t>804-03007</t>
  </si>
  <si>
    <t>Channel, C8x11.5.0 lb/ft</t>
  </si>
  <si>
    <t>Channel, C10x15.3</t>
  </si>
  <si>
    <t>Channel, C12x25</t>
  </si>
  <si>
    <t>Channel, MC8x22.8 lb/ft</t>
  </si>
  <si>
    <t>Channel, MC10x22 lb/ft</t>
  </si>
  <si>
    <t>Channel, MC12x45.0 lb/ft</t>
  </si>
  <si>
    <t>Channel, MC18x42.7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</si>
  <si>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</si>
  <si>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</si>
  <si>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</si>
  <si>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</si>
  <si>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</si>
  <si>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</si>
  <si>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</si>
  <si>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</si>
  <si>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</si>
  <si>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</si>
  <si>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</si>
  <si>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804-14010</t>
  </si>
  <si>
    <t>Raw Angle, 3" x 3" x 1/4"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</si>
  <si>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</si>
  <si>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</si>
  <si>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</si>
  <si>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</si>
  <si>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</si>
  <si>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</si>
  <si>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</si>
  <si>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</si>
  <si>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</si>
  <si>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</si>
  <si>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</si>
  <si>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</si>
  <si>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</si>
  <si>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</si>
  <si>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</si>
  <si>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</si>
  <si>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FLAT BAR-3/8"X4"</t>
  </si>
  <si>
    <t>MC6x18</t>
  </si>
  <si>
    <t>W12x30</t>
  </si>
  <si>
    <t>W10x17</t>
  </si>
  <si>
    <t>W6x9</t>
  </si>
  <si>
    <t>W8x10</t>
  </si>
  <si>
    <t>C8x11.5</t>
  </si>
  <si>
    <t>MC12x45</t>
  </si>
  <si>
    <t>HSS3x3x3/8</t>
  </si>
  <si>
    <t>HSS4x4x1/8</t>
  </si>
  <si>
    <t>HSS6x3x3/8</t>
  </si>
  <si>
    <t>L2x2x3/16</t>
  </si>
  <si>
    <t>L3x3x1/4</t>
  </si>
  <si>
    <t>HSS3x3x3/16</t>
  </si>
  <si>
    <t>Raw Ang. 2 X 2 X 3/16"</t>
  </si>
  <si>
    <t>804-14016</t>
  </si>
  <si>
    <t>Raw Ang. 5" x 3 1/2" x 3/8"</t>
  </si>
  <si>
    <t>804-17002</t>
  </si>
  <si>
    <t>Pipe 3" Sch 40 Raw Bare</t>
  </si>
  <si>
    <t>804-17004</t>
  </si>
  <si>
    <t>Pipe 2" Sch 40 Raw Bare</t>
  </si>
  <si>
    <t>L5x3 1/2x3/8</t>
  </si>
  <si>
    <t>Pipe 3" Sch 40</t>
  </si>
  <si>
    <t>Pipe 2" Sch 40</t>
  </si>
  <si>
    <t>HSS3x2x1/4</t>
  </si>
  <si>
    <t>804-00040</t>
  </si>
  <si>
    <t>Tubing 3" x 2" x 1/4" Steel (50ksi)</t>
  </si>
  <si>
    <t>804-05094</t>
  </si>
  <si>
    <t>804-05095</t>
  </si>
  <si>
    <t>804-05096</t>
  </si>
  <si>
    <t>804-05097</t>
  </si>
  <si>
    <t>804-05098</t>
  </si>
  <si>
    <t>804-05099</t>
  </si>
  <si>
    <t>804-05100</t>
  </si>
  <si>
    <t>804-05101</t>
  </si>
  <si>
    <t>804-05084</t>
  </si>
  <si>
    <t>804-05085</t>
  </si>
  <si>
    <t>804-05086</t>
  </si>
  <si>
    <t>804-05087</t>
  </si>
  <si>
    <t>804-05088</t>
  </si>
  <si>
    <t>804-05089</t>
  </si>
  <si>
    <t>804-05090</t>
  </si>
  <si>
    <t>804-05091</t>
  </si>
  <si>
    <t>804-05092</t>
  </si>
  <si>
    <t>804-05093</t>
  </si>
  <si>
    <t>XXXX</t>
  </si>
  <si>
    <t>FLOOR WELDMENT#</t>
  </si>
  <si>
    <t>FLOOR ASSEMBLY#</t>
  </si>
  <si>
    <t>W24x84</t>
  </si>
  <si>
    <t>804-05136</t>
  </si>
  <si>
    <t>Beam-W24x84.0 lb/ft</t>
  </si>
  <si>
    <t>804-05137</t>
  </si>
  <si>
    <t>804-05138</t>
  </si>
  <si>
    <t>THICKNESS</t>
  </si>
  <si>
    <t>VOORTMAN</t>
  </si>
  <si>
    <t>NON-VOORTMAN</t>
  </si>
  <si>
    <t>W12x50</t>
  </si>
  <si>
    <t>804-05149</t>
  </si>
  <si>
    <t>Beam-W12x50.0 lb/ft</t>
  </si>
  <si>
    <t>57'-8"</t>
  </si>
  <si>
    <t>48'-4"</t>
  </si>
  <si>
    <t>47'-4"</t>
  </si>
  <si>
    <t>38'-4"</t>
  </si>
  <si>
    <t>36'-8"</t>
  </si>
  <si>
    <t>35'-4"</t>
  </si>
  <si>
    <t>63'-8"</t>
  </si>
  <si>
    <t>60'-8"</t>
  </si>
  <si>
    <t>57'-4"</t>
  </si>
  <si>
    <t>50'-4"</t>
  </si>
  <si>
    <t>28'-4"</t>
  </si>
  <si>
    <t>27'-8"</t>
  </si>
  <si>
    <t>25'-8"</t>
  </si>
  <si>
    <t>58'-4"</t>
  </si>
  <si>
    <t>65'-3"</t>
  </si>
  <si>
    <t>804-05109</t>
  </si>
  <si>
    <t>804-00090</t>
  </si>
  <si>
    <t>804-05115</t>
  </si>
  <si>
    <t>P01XXXX</t>
  </si>
  <si>
    <t>XXX</t>
  </si>
  <si>
    <t>CHK. &amp; APP. BY</t>
  </si>
  <si>
    <t>804-05105</t>
  </si>
  <si>
    <t>804-05110</t>
  </si>
  <si>
    <t>804-05120</t>
  </si>
  <si>
    <t>804-05155</t>
  </si>
  <si>
    <t>804-05123</t>
  </si>
  <si>
    <t>804-00096</t>
  </si>
  <si>
    <t>804-00093</t>
  </si>
  <si>
    <t>804-01522</t>
  </si>
  <si>
    <t>804-05121</t>
  </si>
  <si>
    <t>804-05119</t>
  </si>
  <si>
    <t>804-05118</t>
  </si>
  <si>
    <t>804-05117</t>
  </si>
  <si>
    <t>804-05116</t>
  </si>
  <si>
    <t>804-00094</t>
  </si>
  <si>
    <t>804-00095</t>
  </si>
  <si>
    <t>804-05114</t>
  </si>
  <si>
    <t>804-05127</t>
  </si>
  <si>
    <t>804-05126</t>
  </si>
  <si>
    <t>804-05125</t>
  </si>
  <si>
    <t>804-05124</t>
  </si>
  <si>
    <t>Beam-W6x16 lb/ft</t>
  </si>
  <si>
    <t>MC6x12</t>
  </si>
  <si>
    <t>Channel, MC6x12</t>
  </si>
  <si>
    <t>Channel, MC6x18 lb/ft (50ksi)</t>
  </si>
  <si>
    <t>Channel, MC6x15.3</t>
  </si>
  <si>
    <t>MC6x15.3</t>
  </si>
  <si>
    <t>MC8x20</t>
  </si>
  <si>
    <t>Channel, MC8x20</t>
  </si>
  <si>
    <t>W6x16</t>
  </si>
  <si>
    <t>MC12x31</t>
  </si>
  <si>
    <t>Channel, MC12x31.0 lb/ft</t>
  </si>
  <si>
    <t>C3x5</t>
  </si>
  <si>
    <t>Channel, C3x5</t>
  </si>
  <si>
    <t>C4x5.4</t>
  </si>
  <si>
    <t>Channel, C4x5.4</t>
  </si>
  <si>
    <t>W8x48</t>
  </si>
  <si>
    <t>804-05108</t>
  </si>
  <si>
    <t>Beam-W8x48.0 lb/ft</t>
  </si>
  <si>
    <t>Weight (lb/ft)</t>
  </si>
  <si>
    <t>Class Code</t>
  </si>
  <si>
    <t>PRO</t>
  </si>
  <si>
    <t>STK</t>
  </si>
  <si>
    <t>804-18004</t>
  </si>
  <si>
    <t>HSS3x3x1/4</t>
  </si>
  <si>
    <t>Tubing 3" x 3" x 1/4" Steel (50ksi)</t>
  </si>
  <si>
    <t>A</t>
  </si>
  <si>
    <t>804-14024</t>
  </si>
  <si>
    <t>Item Description</t>
  </si>
  <si>
    <t>Raw Material Number</t>
  </si>
  <si>
    <t>UOM</t>
  </si>
  <si>
    <t>Job Qty.</t>
  </si>
  <si>
    <t>Purchase Length (inches)</t>
  </si>
  <si>
    <t>Purchase Length (ft)</t>
  </si>
  <si>
    <t>Total Purchase Length (ft)</t>
  </si>
  <si>
    <t>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</si>
</sst>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8"/>
      <color rgb="FF000000"/>
      <name val="Calibri"/>
      <family val="2"/>
    </font>
    <font>
      <sz val="8"/>
      <name val="Calibri"/>
      <family val="2"/>
      <scheme val="minor"/>
    </font>
    <font>
      <sz val="8"/>
      <color theme="1"/>
      <name val="Arial"/>
      <family val="2"/>
    </font>
    <font>
      <sz val="11"/>
      <color indexed="8"/>
      <name val="Calibri"/>
      <family val="2"/>
      <charset val="1"/>
    </font>
    <font>
      <sz val="11"/>
      <color indexed="8"/>
      <name val="Calibri"/>
      <family val="2"/>
    </font>
    <font>
      <b/>
      <sz val="14"/>
      <color indexed="8"/>
      <name val="Calibri"/>
      <family val="2"/>
      <scheme val="minor"/>
    </font>
    <font>
      <sz val="14"/>
      <color indexed="8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rgb="FFFFFFFF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FFFFFF"/>
        <bgColor rgb="FFFFFFCC"/>
      </patternFill>
    </fill>
    <fill>
      <patternFill patternType="solid">
        <fgColor indexed="31"/>
        <bgColor indexed="22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0" fontId="4" fillId="0" borderId="0"/>
    <xf numFmtId="0" fontId="5" fillId="0" borderId="0"/>
  </cellStyleXfs>
  <cellXfs count="57">
    <xf numFmtId="0" fontId="0" fillId="0" borderId="0" xfId="0"/>
    <xf numFmtId="0" fontId="3" fillId="0" borderId="0" xfId="0" applyFont="1"/>
    <xf numFmtId="0" fontId="7" fillId="4" borderId="3" xfId="0" applyFont="1" applyFill="1" applyBorder="1" applyAlignment="1">
      <alignment horizontal="left" vertical="center"/>
    </xf>
    <xf numFmtId="15" fontId="7" fillId="4" borderId="3" xfId="0" applyNumberFormat="1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left" vertical="center"/>
    </xf>
    <xf numFmtId="0" fontId="7" fillId="0" borderId="0" xfId="0" applyFont="1" applyAlignment="1">
      <alignment horizontal="left"/>
    </xf>
    <xf numFmtId="0" fontId="8" fillId="0" borderId="0" xfId="0" applyFont="1"/>
    <xf numFmtId="0" fontId="9" fillId="0" borderId="0" xfId="0" applyFont="1"/>
    <xf numFmtId="0" fontId="9" fillId="0" borderId="0" xfId="0" applyFont="1" applyAlignment="1">
      <alignment horizontal="left"/>
    </xf>
    <xf numFmtId="12" fontId="9" fillId="0" borderId="0" xfId="0" applyNumberFormat="1" applyFont="1"/>
    <xf numFmtId="0" fontId="10" fillId="2" borderId="2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12" fontId="9" fillId="0" borderId="1" xfId="0" applyNumberFormat="1" applyFont="1" applyBorder="1" applyAlignment="1">
      <alignment horizontal="left" vertical="center"/>
    </xf>
    <xf numFmtId="0" fontId="6" fillId="4" borderId="3" xfId="0" applyFont="1" applyFill="1" applyBorder="1" applyAlignment="1">
      <alignment vertical="center"/>
    </xf>
    <xf numFmtId="0" fontId="7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right" vertical="center"/>
    </xf>
    <xf numFmtId="0" fontId="10" fillId="2" borderId="2" xfId="0" applyFont="1" applyFill="1" applyBorder="1" applyAlignment="1">
      <alignment horizontal="left" vertical="center" wrapText="1"/>
    </xf>
    <xf numFmtId="0" fontId="10" fillId="2" borderId="8" xfId="0" applyFont="1" applyFill="1" applyBorder="1" applyAlignment="1">
      <alignment horizontal="center" vertical="center" wrapText="1"/>
    </xf>
    <xf numFmtId="12" fontId="10" fillId="2" borderId="2" xfId="0" applyNumberFormat="1" applyFont="1" applyFill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center" vertical="center" wrapText="1"/>
    </xf>
    <xf numFmtId="0" fontId="7" fillId="0" borderId="1" xfId="1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12" fontId="7" fillId="0" borderId="1" xfId="0" applyNumberFormat="1" applyFont="1" applyBorder="1" applyAlignment="1">
      <alignment horizontal="center" vertical="center" wrapText="1"/>
    </xf>
    <xf numFmtId="1" fontId="7" fillId="0" borderId="1" xfId="0" applyNumberFormat="1" applyFont="1" applyBorder="1" applyAlignment="1">
      <alignment horizontal="left" vertical="center" wrapText="1"/>
    </xf>
    <xf numFmtId="0" fontId="7" fillId="5" borderId="1" xfId="1" applyFont="1" applyFill="1" applyBorder="1" applyAlignment="1">
      <alignment horizontal="left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1" xfId="0" applyFont="1" applyFill="1" applyBorder="1" applyAlignment="1">
      <alignment horizontal="left" vertical="center" wrapText="1"/>
    </xf>
    <xf numFmtId="0" fontId="8" fillId="0" borderId="1" xfId="0" applyFont="1" applyBorder="1" applyAlignment="1">
      <alignment horizontal="left" vertical="center" wrapText="1"/>
    </xf>
    <xf numFmtId="0" fontId="8" fillId="0" borderId="1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left" vertical="center"/>
    </xf>
    <xf numFmtId="0" fontId="8" fillId="0" borderId="1" xfId="0" applyFont="1" applyBorder="1" applyAlignment="1">
      <alignment horizontal="center" vertical="center"/>
    </xf>
    <xf numFmtId="0" fontId="7" fillId="7" borderId="1" xfId="0" applyFont="1" applyFill="1" applyBorder="1" applyAlignment="1">
      <alignment horizontal="center" vertical="center" wrapText="1"/>
    </xf>
    <xf numFmtId="0" fontId="7" fillId="7" borderId="1" xfId="0" applyFont="1" applyFill="1" applyBorder="1" applyAlignment="1">
      <alignment horizontal="left" vertical="center" wrapText="1"/>
    </xf>
    <xf numFmtId="0" fontId="8" fillId="0" borderId="9" xfId="0" applyFont="1" applyBorder="1" applyAlignment="1">
      <alignment horizontal="left" vertical="center"/>
    </xf>
    <xf numFmtId="0" fontId="8" fillId="0" borderId="4" xfId="0" applyFont="1" applyBorder="1" applyAlignment="1">
      <alignment horizontal="left" vertical="center"/>
    </xf>
    <xf numFmtId="0" fontId="8" fillId="0" borderId="10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8" fillId="0" borderId="7" xfId="0" applyFont="1" applyBorder="1" applyAlignment="1">
      <alignment horizontal="left" vertical="center"/>
    </xf>
    <xf numFmtId="0" fontId="8" fillId="0" borderId="3" xfId="0" applyFont="1" applyBorder="1" applyAlignment="1">
      <alignment horizontal="left" vertical="center"/>
    </xf>
    <xf numFmtId="0" fontId="8" fillId="0" borderId="6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6" fillId="4" borderId="3" xfId="0" applyFont="1" applyFill="1" applyBorder="1" applyAlignment="1">
      <alignment horizontal="left" vertical="center"/>
    </xf>
    <xf numFmtId="0" fontId="6" fillId="4" borderId="4" xfId="0" applyFont="1" applyFill="1" applyBorder="1" applyAlignment="1">
      <alignment horizontal="left" vertical="center"/>
    </xf>
    <xf numFmtId="0" fontId="7" fillId="4" borderId="6" xfId="0" applyFont="1" applyFill="1" applyBorder="1" applyAlignment="1">
      <alignment horizontal="left" vertical="center"/>
    </xf>
    <xf numFmtId="0" fontId="7" fillId="4" borderId="5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  <xf numFmtId="0" fontId="6" fillId="4" borderId="6" xfId="0" applyFont="1" applyFill="1" applyBorder="1" applyAlignment="1">
      <alignment horizontal="left" vertical="center"/>
    </xf>
    <xf numFmtId="0" fontId="6" fillId="4" borderId="5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</cellXfs>
  <cellStyles count="3">
    <cellStyle name="Normal" xfId="0" builtinId="0"/>
    <cellStyle name="Normal 2" xfId="1" xr:uid="{C80DBCA5-BB58-4AC8-8CE8-8280C5357AE7}"/>
    <cellStyle name="Normal 3" xfId="2" xr:uid="{72EDCB9D-A709-4AF3-92F1-FB609499276B}"/>
  </cellStyles>
  <dxfs count="44"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numFmt numFmtId="17" formatCode="#\ ?/?"/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numFmt numFmtId="17" formatCode="#\ ?/?"/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rgb="FFFFFFCC"/>
          <bgColor rgb="FFFFFFFF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left" vertical="center" textRotation="0" wrapText="1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000000"/>
        <name val="Calibri"/>
        <family val="2"/>
        <scheme val="minor"/>
      </font>
      <alignment horizontal="left" vertical="center" textRotation="0" wrapText="0" indent="0" justifyLastLine="0" shrinkToFit="0" readingOrder="0"/>
      <border diagonalUp="0" diagonalDown="0"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  <vertical style="hair">
          <color indexed="64"/>
        </vertical>
        <horizontal style="hair">
          <color indexed="64"/>
        </horizontal>
      </border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182880</xdr:rowOff>
        </xdr:from>
        <xdr:to>
          <xdr:col>13</xdr:col>
          <xdr:colOff>3200400</xdr:colOff>
          <xdr:row>5</xdr:row>
          <xdr:rowOff>480060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6:L80" totalsRowShown="0" headerRowDxfId="43" dataDxfId="42">
  <autoFilter ref="A6:L80" xr:uid="{CDF9619B-F0E7-490D-BEFA-727196256470}"/>
  <tableColumns count="12">
    <tableColumn id="1" xr3:uid="{4774FE6E-D79F-4E40-98D1-FE10D40ABC07}" name="SL. NO." dataDxfId="41"/>
    <tableColumn id="2" xr3:uid="{9884691F-0A0D-47CB-8EF0-9AE590C29CC9}" name="PART#" dataDxfId="40" dataCellStyle="Normal 2"/>
    <tableColumn id="3" xr3:uid="{3868E0BB-A494-4109-A7E8-244E1F15175E}" name="LEGEND" dataDxfId="39"/>
    <tableColumn id="4" xr3:uid="{A4F222A3-F838-4FED-8402-8D5E4131929A}" name="ITEM #" dataDxfId="38"/>
    <tableColumn id="5" xr3:uid="{6C82C4FD-0222-4263-8F8F-1DE29AB0E7E9}" name="DESCRIPTION" dataDxfId="37"/>
    <tableColumn id="6" xr3:uid="{74DDC800-B5E7-459A-ABF8-ABAF51A457AC}" name="QTY." dataDxfId="36"/>
    <tableColumn id="12" xr3:uid="{8DD2F9D1-0DB5-4761-9AB3-0677E00D02E6}" name="THICKNESS" dataDxfId="35"/>
    <tableColumn id="7" xr3:uid="{119738FE-8C63-4234-ACE4-FA9F6A046F9C}" name="LENGTH (in.)" dataDxfId="34"/>
    <tableColumn id="8" xr3:uid="{E4370ABC-D39E-4392-8F0E-6B9C56981840}" name="RAW MATERIAL _x000a_NUMBER" dataDxfId="33"/>
    <tableColumn id="9" xr3:uid="{1A2B8888-81A1-4DB4-A951-BBABDB4647C7}" name="SUPPLIER" dataDxfId="32"/>
    <tableColumn id="10" xr3:uid="{709F9ABD-F4C3-4F5E-9F71-D158E141171F}" name="SUB-ASSEMBLY" dataDxfId="31"/>
    <tableColumn id="11" xr3:uid="{047AD226-E9D9-4FBE-A92A-B42E92B0B3A3}" name="REMARKS" dataDxfId="30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BE133E7-3063-43D3-9E8C-583DB4A47145}" name="Table1" displayName="Table1_1" ref="A1:H3" totalsRowShown="0" headerRowDxfId="12" dataDxfId="10" headerRowBorderDxfId="11" tableBorderDxfId="9" totalsRowBorderDxfId="8">
  <autoFilter ref="A1:H3" xr:uid="{8BE133E7-3063-43D3-9E8C-583DB4A47145}"/>
  <tableColumns count="8">
    <tableColumn id="1" xr3:uid="{7888E19E-4B54-460B-835B-A207DB8AE68A}" name="Item Description" dataDxfId="7"/>
    <tableColumn id="2" xr3:uid="{D1C885AF-D67E-4173-8BB4-E8AF4B4F4888}" name="Raw Material Number" dataDxfId="6"/>
    <tableColumn id="3" xr3:uid="{0030826F-FAAC-4AC3-8ADD-F183875E49B5}" name="Class Code" dataDxfId="5"/>
    <tableColumn id="4" xr3:uid="{FEFB6FB0-1EA2-4471-B6D8-982578EBE34E}" name="UOM" dataDxfId="4"/>
    <tableColumn id="5" xr3:uid="{78DC89AF-EDC6-4343-ACE0-A43E15D043B7}" name="Job Qty." dataDxfId="3"/>
    <tableColumn id="6" xr3:uid="{7A026926-4087-40A7-B2E2-41CA679698FD}" name="Purchase Length (inches)" dataDxfId="2"/>
    <tableColumn id="7" xr3:uid="{77662E1A-2BBB-4CD1-9E43-6EE8D26D314D}" name="Purchase Length (ft)" dataDxfId="1"/>
    <tableColumn id="8" xr3:uid="{1E86E679-446B-465E-9829-8879B549E43D}" name="Total Purchase Length (ft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J80"/>
  <sheetViews>
    <sheetView tabSelected="1" zoomScale="70" zoomScaleNormal="70" workbookViewId="0">
      <selection activeCell="I37" sqref="I37"/>
    </sheetView>
  </sheetViews>
  <sheetFormatPr defaultColWidth="8.88671875" defaultRowHeight="18" x14ac:dyDescent="0.35"/>
  <cols>
    <col min="1" max="1" width="14.109375" style="7" bestFit="1" customWidth="1"/>
    <col min="2" max="2" width="12.44140625" style="8" bestFit="1" customWidth="1"/>
    <col min="3" max="3" width="20.33203125" style="7" customWidth="1"/>
    <col min="4" max="4" width="13.88671875" style="7" bestFit="1" customWidth="1"/>
    <col min="5" max="5" width="21.109375" style="7" bestFit="1" customWidth="1"/>
    <col min="6" max="6" width="11.44140625" style="7" bestFit="1" customWidth="1"/>
    <col min="7" max="7" width="18.33203125" style="7" bestFit="1" customWidth="1"/>
    <col min="8" max="8" width="20.21875" style="9" bestFit="1" customWidth="1"/>
    <col min="9" max="9" width="23.77734375" style="7" bestFit="1" customWidth="1"/>
    <col min="10" max="10" width="16.44140625" style="7" bestFit="1" customWidth="1"/>
    <col min="11" max="11" width="22.88671875" style="7" bestFit="1" customWidth="1"/>
    <col min="12" max="12" width="17" style="7" bestFit="1" customWidth="1"/>
    <col min="13" max="13" width="3.88671875" style="7" hidden="1" customWidth="1"/>
    <col min="14" max="14" width="42.33203125" style="6" bestFit="1" customWidth="1"/>
    <col min="15" max="17" width="11.44140625" style="6" customWidth="1"/>
    <col min="18" max="1024" width="11.44140625" style="7" customWidth="1"/>
    <col min="1025" max="16384" width="8.88671875" style="6"/>
  </cols>
  <sheetData>
    <row r="1" spans="1:1024" x14ac:dyDescent="0.35">
      <c r="A1" s="49" t="s">
        <v>0</v>
      </c>
      <c r="B1" s="49"/>
      <c r="C1" s="51" t="s">
        <v>134</v>
      </c>
      <c r="D1" s="52"/>
      <c r="E1" s="53"/>
      <c r="F1" s="15" t="s">
        <v>1</v>
      </c>
      <c r="G1" s="2" t="s">
        <v>135</v>
      </c>
      <c r="H1" s="15" t="s">
        <v>2</v>
      </c>
      <c r="I1" s="2" t="s">
        <v>102</v>
      </c>
      <c r="J1" s="16"/>
      <c r="K1" s="16"/>
      <c r="L1" s="6"/>
      <c r="N1" s="7"/>
      <c r="O1" s="7"/>
      <c r="P1" s="7"/>
      <c r="Q1" s="7"/>
      <c r="AMF1" s="6"/>
      <c r="AMG1" s="6"/>
      <c r="AMH1" s="6"/>
      <c r="AMI1" s="6"/>
      <c r="AMJ1" s="6"/>
    </row>
    <row r="2" spans="1:1024" x14ac:dyDescent="0.35">
      <c r="A2" s="49" t="s">
        <v>3</v>
      </c>
      <c r="B2" s="49"/>
      <c r="C2" s="54"/>
      <c r="D2" s="55"/>
      <c r="E2" s="56"/>
      <c r="F2" s="15" t="s">
        <v>4</v>
      </c>
      <c r="G2" s="3">
        <v>45321</v>
      </c>
      <c r="H2" s="15" t="s">
        <v>136</v>
      </c>
      <c r="I2" s="2" t="s">
        <v>102</v>
      </c>
      <c r="J2" s="16"/>
      <c r="K2" s="16"/>
      <c r="L2" s="6"/>
      <c r="N2" s="7"/>
      <c r="O2" s="7"/>
      <c r="P2" s="7"/>
      <c r="Q2" s="7"/>
      <c r="AMF2" s="6"/>
      <c r="AMG2" s="6"/>
      <c r="AMH2" s="6"/>
      <c r="AMI2" s="6"/>
      <c r="AMJ2" s="6"/>
    </row>
    <row r="3" spans="1:1024" x14ac:dyDescent="0.35">
      <c r="A3" s="50" t="s">
        <v>103</v>
      </c>
      <c r="B3" s="50"/>
      <c r="C3" s="4" t="s">
        <v>102</v>
      </c>
      <c r="D3" s="17"/>
      <c r="E3" s="17"/>
      <c r="F3" s="17"/>
      <c r="G3" s="5"/>
      <c r="H3" s="5"/>
      <c r="I3" s="5"/>
      <c r="J3" s="5"/>
      <c r="K3" s="5"/>
      <c r="L3" s="6"/>
      <c r="M3" s="6"/>
    </row>
    <row r="4" spans="1:1024" x14ac:dyDescent="0.35">
      <c r="A4" s="49" t="s">
        <v>104</v>
      </c>
      <c r="B4" s="49"/>
      <c r="C4" s="2" t="s">
        <v>102</v>
      </c>
      <c r="D4" s="17"/>
      <c r="E4" s="17"/>
      <c r="F4" s="17"/>
      <c r="G4" s="5"/>
      <c r="H4" s="5"/>
      <c r="I4" s="5"/>
      <c r="J4" s="5"/>
      <c r="K4" s="5"/>
      <c r="L4" s="6"/>
      <c r="M4" s="6"/>
    </row>
    <row r="5" spans="1:1024" x14ac:dyDescent="0.35">
      <c r="E5" s="18"/>
    </row>
    <row r="6" spans="1:1024" ht="36" x14ac:dyDescent="0.35">
      <c r="A6" s="10" t="s">
        <v>5</v>
      </c>
      <c r="B6" s="20" t="s">
        <v>6</v>
      </c>
      <c r="C6" s="10" t="s">
        <v>7</v>
      </c>
      <c r="D6" s="10" t="s">
        <v>8</v>
      </c>
      <c r="E6" s="21" t="s">
        <v>9</v>
      </c>
      <c r="F6" s="10" t="s">
        <v>10</v>
      </c>
      <c r="G6" s="10" t="s">
        <v>110</v>
      </c>
      <c r="H6" s="22" t="s">
        <v>11</v>
      </c>
      <c r="I6" s="10" t="s">
        <v>12</v>
      </c>
      <c r="J6" s="10" t="s">
        <v>54</v>
      </c>
      <c r="K6" s="10" t="s">
        <v>55</v>
      </c>
      <c r="L6" s="10" t="s">
        <v>56</v>
      </c>
    </row>
    <row r="7" spans="1:1024" x14ac:dyDescent="0.35">
      <c r="A7" s="11"/>
      <c r="B7" s="30"/>
      <c r="C7" s="37" t="s">
        <v>111</v>
      </c>
      <c r="D7" s="37"/>
      <c r="E7" s="38"/>
      <c r="F7" s="37"/>
      <c r="G7" s="37"/>
      <c r="H7" s="37"/>
      <c r="I7" s="12"/>
      <c r="J7" s="13"/>
      <c r="K7" s="13"/>
      <c r="L7" s="13"/>
    </row>
    <row r="8" spans="1:1024" x14ac:dyDescent="0.35">
      <c r="A8" s="24"/>
      <c r="B8" s="23"/>
      <c r="C8" s="24" t="s">
        <v>182</v>
      </c>
      <c r="D8" s="24">
        <v>1</v>
      </c>
      <c r="E8" s="24" t="s">
        <v>44</v>
      </c>
      <c r="F8" s="24">
        <v>10</v>
      </c>
      <c r="G8" s="24"/>
      <c r="H8" s="24">
        <v>12</v>
      </c>
      <c r="I8" s="25"/>
      <c r="J8" s="13"/>
      <c r="K8" s="13"/>
      <c r="L8" s="13"/>
    </row>
    <row r="9" spans="1:1024" x14ac:dyDescent="0.35">
      <c r="A9" s="24"/>
      <c r="B9" s="23"/>
      <c r="C9" s="24" t="s">
        <v>182</v>
      </c>
      <c r="D9" s="24">
        <v>2</v>
      </c>
      <c r="E9" s="24" t="s">
        <v>44</v>
      </c>
      <c r="F9" s="24">
        <v>2</v>
      </c>
      <c r="G9" s="24"/>
      <c r="H9" s="24">
        <v>120</v>
      </c>
      <c r="I9" s="25"/>
      <c r="J9" s="13"/>
      <c r="K9" s="13"/>
      <c r="L9" s="13"/>
    </row>
    <row r="10" spans="1:1024" x14ac:dyDescent="0.35">
      <c r="A10" s="24"/>
      <c r="B10" s="23"/>
      <c r="C10" s="24" t="s">
        <v>182</v>
      </c>
      <c r="D10" s="24">
        <v>3</v>
      </c>
      <c r="E10" s="24" t="s">
        <v>44</v>
      </c>
      <c r="F10" s="24">
        <v>4</v>
      </c>
      <c r="G10" s="24"/>
      <c r="H10" s="24">
        <v>54</v>
      </c>
      <c r="I10" s="25"/>
      <c r="J10" s="13"/>
      <c r="K10" s="13"/>
      <c r="L10" s="13"/>
    </row>
    <row r="11" spans="1:1024" x14ac:dyDescent="0.35">
      <c r="A11" s="24"/>
      <c r="B11" s="23"/>
      <c r="C11" s="24" t="s">
        <v>182</v>
      </c>
      <c r="D11" s="24">
        <v>3</v>
      </c>
      <c r="E11" s="24" t="s">
        <v>44</v>
      </c>
      <c r="F11" s="24">
        <v>4</v>
      </c>
      <c r="G11" s="24"/>
      <c r="H11" s="24">
        <v>78</v>
      </c>
      <c r="I11" s="25"/>
      <c r="J11" s="13"/>
      <c r="K11" s="13"/>
      <c r="L11" s="13"/>
    </row>
    <row r="12" spans="1:1024" x14ac:dyDescent="0.35">
      <c r="A12" s="24"/>
      <c r="B12" s="23"/>
      <c r="C12" s="24"/>
      <c r="D12" s="24"/>
      <c r="E12" s="24"/>
      <c r="F12" s="24"/>
      <c r="G12" s="24"/>
      <c r="H12" s="24"/>
      <c r="I12" s="25"/>
      <c r="J12" s="13"/>
      <c r="K12" s="13"/>
      <c r="L12" s="13"/>
    </row>
    <row r="13" spans="1:1024" x14ac:dyDescent="0.35">
      <c r="A13" s="24"/>
      <c r="B13" s="23"/>
      <c r="C13" s="24"/>
      <c r="D13" s="24"/>
      <c r="E13" s="24"/>
      <c r="F13" s="24"/>
      <c r="G13" s="24"/>
      <c r="H13" s="24"/>
      <c r="I13" s="25"/>
      <c r="J13" s="13"/>
      <c r="K13" s="13"/>
      <c r="L13" s="13"/>
    </row>
    <row r="14" spans="1:1024" x14ac:dyDescent="0.35">
      <c r="A14" s="24"/>
      <c r="B14" s="23"/>
      <c r="C14" s="24"/>
      <c r="D14" s="24"/>
      <c r="E14" s="24"/>
      <c r="F14" s="24"/>
      <c r="G14" s="24"/>
      <c r="H14" s="24"/>
      <c r="I14" s="25"/>
      <c r="J14" s="13"/>
      <c r="K14" s="13"/>
      <c r="L14" s="13"/>
    </row>
    <row r="15" spans="1:1024" x14ac:dyDescent="0.35">
      <c r="A15" s="24"/>
      <c r="B15" s="23"/>
      <c r="C15" s="24"/>
      <c r="D15" s="24"/>
      <c r="E15" s="24"/>
      <c r="F15" s="24"/>
      <c r="G15" s="24"/>
      <c r="H15" s="24"/>
      <c r="I15" s="25"/>
      <c r="J15" s="13"/>
      <c r="K15" s="13"/>
      <c r="L15" s="13"/>
    </row>
    <row r="16" spans="1:1024" x14ac:dyDescent="0.35">
      <c r="A16" s="24"/>
      <c r="B16" s="23"/>
      <c r="C16" s="24"/>
      <c r="D16" s="24"/>
      <c r="E16" s="24"/>
      <c r="F16" s="24"/>
      <c r="G16" s="24"/>
      <c r="H16" s="24"/>
      <c r="I16" s="25"/>
      <c r="J16" s="13"/>
      <c r="K16" s="13"/>
      <c r="L16" s="13"/>
    </row>
    <row r="17" spans="1:12" x14ac:dyDescent="0.35">
      <c r="A17" s="24"/>
      <c r="B17" s="23"/>
      <c r="C17" s="24"/>
      <c r="D17" s="24"/>
      <c r="E17" s="24"/>
      <c r="F17" s="24"/>
      <c r="G17" s="24"/>
      <c r="H17" s="24"/>
      <c r="I17" s="25"/>
      <c r="J17" s="13"/>
      <c r="K17" s="13"/>
      <c r="L17" s="13"/>
    </row>
    <row r="18" spans="1:12" x14ac:dyDescent="0.35">
      <c r="A18" s="24"/>
      <c r="B18" s="23"/>
      <c r="C18" s="24"/>
      <c r="D18" s="24"/>
      <c r="E18" s="24"/>
      <c r="F18" s="24"/>
      <c r="G18" s="24"/>
      <c r="H18" s="24"/>
      <c r="I18" s="25"/>
      <c r="J18" s="13"/>
      <c r="K18" s="13"/>
      <c r="L18" s="13"/>
    </row>
    <row r="19" spans="1:12" x14ac:dyDescent="0.35">
      <c r="A19" s="24"/>
      <c r="B19" s="23"/>
      <c r="C19" s="24"/>
      <c r="D19" s="24"/>
      <c r="E19" s="24"/>
      <c r="F19" s="24"/>
      <c r="G19" s="24"/>
      <c r="H19" s="24"/>
      <c r="I19" s="25"/>
      <c r="J19" s="13"/>
      <c r="K19" s="13"/>
      <c r="L19" s="13"/>
    </row>
    <row r="20" spans="1:12" x14ac:dyDescent="0.35">
      <c r="A20" s="24"/>
      <c r="B20" s="23"/>
      <c r="C20" s="24"/>
      <c r="D20" s="24"/>
      <c r="E20" s="24"/>
      <c r="F20" s="24"/>
      <c r="G20" s="24"/>
      <c r="H20" s="24"/>
      <c r="I20" s="25"/>
      <c r="J20" s="13"/>
      <c r="K20" s="13"/>
      <c r="L20" s="13"/>
    </row>
    <row r="21" spans="1:12" x14ac:dyDescent="0.35">
      <c r="A21" s="24"/>
      <c r="B21" s="23"/>
      <c r="C21" s="24"/>
      <c r="D21" s="24"/>
      <c r="E21" s="24"/>
      <c r="F21" s="24"/>
      <c r="G21" s="24"/>
      <c r="H21" s="24"/>
      <c r="I21" s="25"/>
      <c r="J21" s="13"/>
      <c r="K21" s="13"/>
      <c r="L21" s="13"/>
    </row>
    <row r="22" spans="1:12" x14ac:dyDescent="0.35">
      <c r="A22" s="13"/>
      <c r="B22" s="26"/>
      <c r="C22" s="25"/>
      <c r="D22" s="25"/>
      <c r="E22" s="27"/>
      <c r="F22" s="28"/>
      <c r="G22" s="25"/>
      <c r="H22" s="28"/>
      <c r="I22" s="25"/>
      <c r="J22" s="13"/>
      <c r="K22" s="13"/>
      <c r="L22" s="13"/>
    </row>
    <row r="23" spans="1:12" x14ac:dyDescent="0.35">
      <c r="A23" s="13"/>
      <c r="B23" s="26"/>
      <c r="C23" s="25"/>
      <c r="D23" s="25"/>
      <c r="E23" s="27"/>
      <c r="F23" s="28"/>
      <c r="G23" s="25"/>
      <c r="H23" s="28"/>
      <c r="I23" s="25"/>
      <c r="J23" s="13"/>
      <c r="K23" s="13"/>
      <c r="L23" s="13"/>
    </row>
    <row r="24" spans="1:12" x14ac:dyDescent="0.35">
      <c r="A24" s="24"/>
      <c r="B24" s="23"/>
      <c r="C24" s="24"/>
      <c r="D24" s="24"/>
      <c r="E24" s="24"/>
      <c r="F24" s="24"/>
      <c r="G24" s="24"/>
      <c r="H24" s="24"/>
      <c r="I24" s="14"/>
      <c r="J24" s="13"/>
      <c r="K24" s="13"/>
      <c r="L24" s="13"/>
    </row>
    <row r="25" spans="1:12" x14ac:dyDescent="0.35">
      <c r="A25" s="24"/>
      <c r="B25" s="23"/>
      <c r="C25" s="24"/>
      <c r="D25" s="24"/>
      <c r="E25" s="24"/>
      <c r="F25" s="24"/>
      <c r="G25" s="24"/>
      <c r="H25" s="24"/>
      <c r="I25" s="14"/>
      <c r="J25" s="13"/>
      <c r="K25" s="13"/>
      <c r="L25" s="13"/>
    </row>
    <row r="26" spans="1:12" x14ac:dyDescent="0.35">
      <c r="A26" s="24"/>
      <c r="B26" s="23"/>
      <c r="C26" s="24"/>
      <c r="D26" s="24"/>
      <c r="E26" s="24"/>
      <c r="F26" s="24"/>
      <c r="G26" s="24"/>
      <c r="H26" s="24"/>
      <c r="I26" s="14"/>
      <c r="J26" s="13"/>
      <c r="K26" s="13"/>
      <c r="L26" s="13"/>
    </row>
    <row r="27" spans="1:12" x14ac:dyDescent="0.35">
      <c r="A27" s="24"/>
      <c r="B27" s="23"/>
      <c r="C27" s="24"/>
      <c r="D27" s="24"/>
      <c r="E27" s="24"/>
      <c r="F27" s="24"/>
      <c r="G27" s="24"/>
      <c r="H27" s="24"/>
      <c r="I27" s="14"/>
      <c r="J27" s="13"/>
      <c r="K27" s="13"/>
      <c r="L27" s="13"/>
    </row>
    <row r="28" spans="1:12" x14ac:dyDescent="0.35">
      <c r="A28" s="13"/>
      <c r="B28" s="23"/>
      <c r="C28" s="27"/>
      <c r="D28" s="27"/>
      <c r="E28" s="27"/>
      <c r="F28" s="25"/>
      <c r="G28" s="25"/>
      <c r="H28" s="25"/>
      <c r="I28" s="14"/>
      <c r="J28" s="13"/>
      <c r="K28" s="13"/>
      <c r="L28" s="13"/>
    </row>
    <row r="29" spans="1:12" x14ac:dyDescent="0.35">
      <c r="A29" s="13"/>
      <c r="B29" s="23"/>
      <c r="C29" s="27"/>
      <c r="D29" s="27"/>
      <c r="E29" s="27"/>
      <c r="F29" s="25"/>
      <c r="G29" s="25"/>
      <c r="H29" s="25"/>
      <c r="I29" s="14"/>
      <c r="J29" s="13"/>
      <c r="K29" s="13"/>
      <c r="L29" s="13"/>
    </row>
    <row r="30" spans="1:12" x14ac:dyDescent="0.35">
      <c r="A30" s="13"/>
      <c r="B30" s="23"/>
      <c r="C30" s="27"/>
      <c r="D30" s="27"/>
      <c r="E30" s="27"/>
      <c r="F30" s="25"/>
      <c r="G30" s="25"/>
      <c r="H30" s="25"/>
      <c r="I30" s="14"/>
      <c r="J30" s="13"/>
      <c r="K30" s="13"/>
      <c r="L30" s="13"/>
    </row>
    <row r="31" spans="1:12" x14ac:dyDescent="0.35">
      <c r="A31" s="13"/>
      <c r="B31" s="23"/>
      <c r="C31" s="27"/>
      <c r="D31" s="27"/>
      <c r="E31" s="27"/>
      <c r="F31" s="25"/>
      <c r="G31" s="25"/>
      <c r="H31" s="25"/>
      <c r="I31" s="14"/>
      <c r="J31" s="13"/>
      <c r="K31" s="13"/>
      <c r="L31" s="13"/>
    </row>
    <row r="32" spans="1:12" x14ac:dyDescent="0.35">
      <c r="A32" s="13"/>
      <c r="B32" s="23"/>
      <c r="C32" s="27"/>
      <c r="D32" s="27"/>
      <c r="E32" s="27"/>
      <c r="F32" s="25"/>
      <c r="G32" s="25"/>
      <c r="H32" s="25"/>
      <c r="I32" s="14"/>
      <c r="J32" s="13"/>
      <c r="K32" s="13"/>
      <c r="L32" s="13"/>
    </row>
    <row r="33" spans="1:12" x14ac:dyDescent="0.35">
      <c r="A33" s="13"/>
      <c r="B33" s="23"/>
      <c r="C33" s="27"/>
      <c r="D33" s="27"/>
      <c r="E33" s="27"/>
      <c r="F33" s="25"/>
      <c r="G33" s="25"/>
      <c r="H33" s="25"/>
      <c r="I33" s="14"/>
      <c r="J33" s="13"/>
      <c r="K33" s="13"/>
      <c r="L33" s="13"/>
    </row>
    <row r="34" spans="1:12" x14ac:dyDescent="0.35">
      <c r="A34" s="13"/>
      <c r="B34" s="29"/>
      <c r="C34" s="27"/>
      <c r="D34" s="27"/>
      <c r="E34" s="27"/>
      <c r="F34" s="25"/>
      <c r="G34" s="25"/>
      <c r="H34" s="28"/>
      <c r="I34" s="14"/>
      <c r="J34" s="13"/>
      <c r="K34" s="13"/>
      <c r="L34" s="13"/>
    </row>
    <row r="35" spans="1:12" x14ac:dyDescent="0.35">
      <c r="A35" s="13"/>
      <c r="B35" s="26"/>
      <c r="C35" s="25"/>
      <c r="D35" s="25"/>
      <c r="E35" s="27"/>
      <c r="F35" s="28"/>
      <c r="G35" s="25"/>
      <c r="H35" s="28"/>
      <c r="I35" s="14"/>
      <c r="J35" s="13"/>
      <c r="K35" s="13"/>
      <c r="L35" s="13"/>
    </row>
    <row r="36" spans="1:12" x14ac:dyDescent="0.35">
      <c r="A36" s="13"/>
      <c r="B36" s="26"/>
      <c r="C36" s="25"/>
      <c r="D36" s="25"/>
      <c r="E36" s="27"/>
      <c r="F36" s="28"/>
      <c r="G36" s="25"/>
      <c r="H36" s="28"/>
      <c r="I36" s="13"/>
      <c r="J36" s="13"/>
      <c r="K36" s="13"/>
      <c r="L36" s="13"/>
    </row>
    <row r="37" spans="1:12" x14ac:dyDescent="0.35">
      <c r="A37" s="13"/>
      <c r="B37" s="26"/>
      <c r="C37" s="25"/>
      <c r="D37" s="25"/>
      <c r="E37" s="27"/>
      <c r="F37" s="28"/>
      <c r="G37" s="25"/>
      <c r="H37" s="28"/>
      <c r="I37" s="13"/>
      <c r="J37" s="13"/>
      <c r="K37" s="13"/>
      <c r="L37" s="13"/>
    </row>
    <row r="38" spans="1:12" x14ac:dyDescent="0.35">
      <c r="A38" s="13"/>
      <c r="B38" s="26"/>
      <c r="C38" s="25"/>
      <c r="D38" s="25"/>
      <c r="E38" s="27"/>
      <c r="F38" s="28"/>
      <c r="G38" s="25"/>
      <c r="H38" s="28"/>
      <c r="I38" s="13"/>
      <c r="J38" s="13"/>
      <c r="K38" s="13"/>
      <c r="L38" s="13"/>
    </row>
    <row r="39" spans="1:12" x14ac:dyDescent="0.35">
      <c r="A39" s="13"/>
      <c r="B39" s="26"/>
      <c r="C39" s="25"/>
      <c r="D39" s="25"/>
      <c r="E39" s="27"/>
      <c r="F39" s="28"/>
      <c r="G39" s="25"/>
      <c r="H39" s="28"/>
      <c r="I39" s="13"/>
      <c r="J39" s="13"/>
      <c r="K39" s="13"/>
      <c r="L39" s="13"/>
    </row>
    <row r="40" spans="1:12" x14ac:dyDescent="0.35">
      <c r="A40" s="13"/>
      <c r="B40" s="26"/>
      <c r="C40" s="25"/>
      <c r="D40" s="25"/>
      <c r="E40" s="27"/>
      <c r="F40" s="28"/>
      <c r="G40" s="25"/>
      <c r="H40" s="28"/>
      <c r="I40" s="13"/>
      <c r="J40" s="13"/>
      <c r="K40" s="13"/>
      <c r="L40" s="13"/>
    </row>
    <row r="41" spans="1:12" x14ac:dyDescent="0.35">
      <c r="A41" s="13"/>
      <c r="B41" s="30"/>
      <c r="C41" s="31" t="s">
        <v>112</v>
      </c>
      <c r="D41" s="31"/>
      <c r="E41" s="32"/>
      <c r="F41" s="31"/>
      <c r="G41" s="31"/>
      <c r="H41" s="31"/>
      <c r="I41" s="13"/>
      <c r="J41" s="13"/>
      <c r="K41" s="13"/>
      <c r="L41" s="13"/>
    </row>
    <row r="42" spans="1:12" x14ac:dyDescent="0.35">
      <c r="A42" s="24"/>
      <c r="B42" s="24" t="s">
        <v>183</v>
      </c>
      <c r="C42" s="24"/>
      <c r="D42" s="24"/>
      <c r="E42" s="24" t="s">
        <v>69</v>
      </c>
      <c r="F42" s="24">
        <v>10</v>
      </c>
      <c r="G42" s="24"/>
      <c r="H42" s="24">
        <v>70</v>
      </c>
      <c r="I42" s="13"/>
      <c r="J42" s="13"/>
      <c r="K42" s="13"/>
      <c r="L42" s="13"/>
    </row>
    <row r="43" spans="1:12" x14ac:dyDescent="0.35">
      <c r="A43" s="24"/>
      <c r="B43" s="24" t="s">
        <v>183</v>
      </c>
      <c r="C43" s="24"/>
      <c r="D43" s="24"/>
      <c r="E43" s="24" t="s">
        <v>69</v>
      </c>
      <c r="F43" s="24">
        <v>2</v>
      </c>
      <c r="G43" s="24"/>
      <c r="H43" s="24">
        <v>42.5</v>
      </c>
      <c r="I43" s="25"/>
      <c r="J43" s="13"/>
      <c r="K43" s="13"/>
      <c r="L43" s="13"/>
    </row>
    <row r="44" spans="1:12" x14ac:dyDescent="0.35">
      <c r="A44" s="13"/>
      <c r="B44" s="24" t="s">
        <v>183</v>
      </c>
      <c r="C44" s="24"/>
      <c r="D44" s="24"/>
      <c r="E44" s="24" t="s">
        <v>69</v>
      </c>
      <c r="F44" s="24">
        <v>4</v>
      </c>
      <c r="G44" s="24"/>
      <c r="H44" s="24">
        <v>12.3</v>
      </c>
      <c r="I44" s="25"/>
      <c r="J44" s="13"/>
      <c r="K44" s="13"/>
      <c r="L44" s="13"/>
    </row>
    <row r="45" spans="1:12" x14ac:dyDescent="0.35">
      <c r="A45" s="13"/>
      <c r="B45" s="24" t="s">
        <v>183</v>
      </c>
      <c r="C45" s="24"/>
      <c r="D45" s="24"/>
      <c r="E45" s="24" t="s">
        <v>69</v>
      </c>
      <c r="F45" s="24">
        <v>4</v>
      </c>
      <c r="G45" s="24"/>
      <c r="H45" s="24">
        <v>5</v>
      </c>
      <c r="I45" s="25"/>
      <c r="J45" s="13"/>
      <c r="K45" s="13"/>
      <c r="L45" s="13"/>
    </row>
    <row r="46" spans="1:12" x14ac:dyDescent="0.35">
      <c r="A46" s="13"/>
      <c r="B46" s="24" t="s">
        <v>183</v>
      </c>
      <c r="C46" s="24"/>
      <c r="D46" s="24"/>
      <c r="E46" s="24" t="s">
        <v>69</v>
      </c>
      <c r="F46" s="24">
        <v>7</v>
      </c>
      <c r="G46" s="24"/>
      <c r="H46" s="24">
        <v>4</v>
      </c>
      <c r="I46" s="25"/>
      <c r="J46" s="13"/>
      <c r="K46" s="13"/>
      <c r="L46" s="13"/>
    </row>
    <row r="47" spans="1:12" x14ac:dyDescent="0.35">
      <c r="A47" s="13"/>
      <c r="B47" s="24" t="s">
        <v>183</v>
      </c>
      <c r="C47" s="24"/>
      <c r="D47" s="24"/>
      <c r="E47" s="24" t="s">
        <v>69</v>
      </c>
      <c r="F47" s="24">
        <v>8</v>
      </c>
      <c r="G47" s="24"/>
      <c r="H47" s="24">
        <v>78</v>
      </c>
      <c r="I47" s="25"/>
      <c r="J47" s="13"/>
      <c r="K47" s="13"/>
      <c r="L47" s="13"/>
    </row>
    <row r="48" spans="1:12" x14ac:dyDescent="0.35">
      <c r="A48" s="13"/>
      <c r="B48" s="24" t="s">
        <v>183</v>
      </c>
      <c r="C48" s="24"/>
      <c r="D48" s="24"/>
      <c r="E48" s="24" t="s">
        <v>69</v>
      </c>
      <c r="F48" s="24">
        <v>9</v>
      </c>
      <c r="G48" s="24"/>
      <c r="H48" s="24">
        <v>96</v>
      </c>
      <c r="I48" s="25"/>
      <c r="J48" s="13"/>
      <c r="K48" s="13"/>
      <c r="L48" s="13"/>
    </row>
    <row r="49" spans="1:12" x14ac:dyDescent="0.35">
      <c r="A49" s="13"/>
      <c r="B49" s="24" t="s">
        <v>183</v>
      </c>
      <c r="C49" s="24"/>
      <c r="D49" s="24"/>
      <c r="E49" s="24" t="s">
        <v>69</v>
      </c>
      <c r="F49" s="24">
        <v>6</v>
      </c>
      <c r="G49" s="24"/>
      <c r="H49" s="24">
        <v>200</v>
      </c>
      <c r="I49" s="25"/>
      <c r="J49" s="13"/>
      <c r="K49" s="13"/>
      <c r="L49" s="13"/>
    </row>
    <row r="50" spans="1:12" x14ac:dyDescent="0.35">
      <c r="A50" s="13"/>
      <c r="B50" s="23"/>
      <c r="C50" s="27"/>
      <c r="D50" s="27"/>
      <c r="E50" s="27"/>
      <c r="F50" s="25"/>
      <c r="G50" s="25"/>
      <c r="H50" s="25"/>
      <c r="I50" s="25"/>
      <c r="J50" s="13"/>
      <c r="K50" s="13"/>
      <c r="L50" s="13"/>
    </row>
    <row r="51" spans="1:12" x14ac:dyDescent="0.35">
      <c r="A51" s="13"/>
      <c r="B51" s="23"/>
      <c r="C51" s="27"/>
      <c r="D51" s="27"/>
      <c r="E51" s="27"/>
      <c r="F51" s="25"/>
      <c r="G51" s="25"/>
      <c r="H51" s="25"/>
      <c r="I51" s="25"/>
      <c r="J51" s="13"/>
      <c r="K51" s="13"/>
      <c r="L51" s="13"/>
    </row>
    <row r="52" spans="1:12" x14ac:dyDescent="0.35">
      <c r="A52" s="13"/>
      <c r="B52" s="23"/>
      <c r="C52" s="27"/>
      <c r="D52" s="27"/>
      <c r="E52" s="27"/>
      <c r="F52" s="25"/>
      <c r="G52" s="25"/>
      <c r="H52" s="25"/>
      <c r="I52" s="25"/>
      <c r="J52" s="13"/>
      <c r="K52" s="13"/>
      <c r="L52" s="13"/>
    </row>
    <row r="53" spans="1:12" x14ac:dyDescent="0.35">
      <c r="A53" s="13"/>
      <c r="B53" s="23"/>
      <c r="C53" s="27"/>
      <c r="D53" s="27"/>
      <c r="E53" s="27"/>
      <c r="F53" s="25"/>
      <c r="G53" s="25"/>
      <c r="H53" s="25"/>
      <c r="I53" s="25"/>
      <c r="J53" s="13"/>
      <c r="K53" s="13"/>
      <c r="L53" s="13"/>
    </row>
    <row r="54" spans="1:12" x14ac:dyDescent="0.35">
      <c r="A54" s="13"/>
      <c r="B54" s="23"/>
      <c r="C54" s="27"/>
      <c r="D54" s="27"/>
      <c r="E54" s="27"/>
      <c r="F54" s="25"/>
      <c r="G54" s="25"/>
      <c r="H54" s="25"/>
      <c r="I54" s="25"/>
      <c r="J54" s="13"/>
      <c r="K54" s="13"/>
      <c r="L54" s="13"/>
    </row>
    <row r="55" spans="1:12" x14ac:dyDescent="0.35">
      <c r="A55" s="13"/>
      <c r="B55" s="23"/>
      <c r="C55" s="27"/>
      <c r="D55" s="27"/>
      <c r="E55" s="27"/>
      <c r="F55" s="25"/>
      <c r="G55" s="25"/>
      <c r="H55" s="25"/>
      <c r="I55" s="25"/>
      <c r="J55" s="13"/>
      <c r="K55" s="13"/>
      <c r="L55" s="13"/>
    </row>
    <row r="56" spans="1:12" x14ac:dyDescent="0.35">
      <c r="A56" s="13"/>
      <c r="B56" s="23"/>
      <c r="C56" s="27"/>
      <c r="D56" s="27"/>
      <c r="E56" s="27"/>
      <c r="F56" s="25"/>
      <c r="G56" s="25"/>
      <c r="H56" s="25"/>
      <c r="I56" s="25"/>
      <c r="J56" s="13"/>
      <c r="K56" s="13"/>
      <c r="L56" s="13"/>
    </row>
    <row r="57" spans="1:12" x14ac:dyDescent="0.35">
      <c r="A57" s="13"/>
      <c r="B57" s="23"/>
      <c r="C57" s="27"/>
      <c r="D57" s="27"/>
      <c r="E57" s="27"/>
      <c r="F57" s="25"/>
      <c r="G57" s="25"/>
      <c r="H57" s="25"/>
      <c r="I57" s="14"/>
      <c r="J57" s="13"/>
      <c r="K57" s="13"/>
      <c r="L57" s="13"/>
    </row>
    <row r="58" spans="1:12" x14ac:dyDescent="0.35">
      <c r="A58" s="13"/>
      <c r="B58" s="23"/>
      <c r="C58" s="27"/>
      <c r="D58" s="27"/>
      <c r="E58" s="27"/>
      <c r="F58" s="25"/>
      <c r="G58" s="25"/>
      <c r="H58" s="25"/>
      <c r="I58" s="14"/>
      <c r="J58" s="13"/>
      <c r="K58" s="13"/>
      <c r="L58" s="13"/>
    </row>
    <row r="59" spans="1:12" x14ac:dyDescent="0.35">
      <c r="A59" s="13"/>
      <c r="B59" s="23"/>
      <c r="C59" s="27"/>
      <c r="D59" s="27"/>
      <c r="E59" s="27"/>
      <c r="F59" s="25"/>
      <c r="G59" s="25"/>
      <c r="H59" s="25"/>
      <c r="I59" s="14"/>
      <c r="J59" s="13"/>
      <c r="K59" s="13"/>
      <c r="L59" s="13"/>
    </row>
    <row r="60" spans="1:12" x14ac:dyDescent="0.35">
      <c r="A60" s="13"/>
      <c r="B60" s="27"/>
      <c r="C60" s="27"/>
      <c r="D60" s="27"/>
      <c r="E60" s="33"/>
      <c r="F60" s="34"/>
      <c r="G60" s="25"/>
      <c r="H60" s="34"/>
      <c r="I60" s="14"/>
      <c r="J60" s="13"/>
      <c r="K60" s="13"/>
      <c r="L60" s="13"/>
    </row>
    <row r="61" spans="1:12" x14ac:dyDescent="0.35">
      <c r="A61" s="13"/>
      <c r="B61" s="27"/>
      <c r="C61" s="27"/>
      <c r="D61" s="27"/>
      <c r="E61" s="33"/>
      <c r="F61" s="34"/>
      <c r="G61" s="25"/>
      <c r="H61" s="34"/>
      <c r="I61" s="14"/>
      <c r="J61" s="13"/>
      <c r="K61" s="13"/>
      <c r="L61" s="13"/>
    </row>
    <row r="62" spans="1:12" x14ac:dyDescent="0.35">
      <c r="A62" s="13"/>
      <c r="B62" s="27"/>
      <c r="C62" s="27"/>
      <c r="D62" s="27"/>
      <c r="E62" s="33"/>
      <c r="F62" s="34"/>
      <c r="G62" s="25"/>
      <c r="H62" s="34"/>
      <c r="I62" s="14"/>
      <c r="J62" s="13"/>
      <c r="K62" s="13"/>
      <c r="L62" s="13"/>
    </row>
    <row r="63" spans="1:12" x14ac:dyDescent="0.35">
      <c r="A63" s="13"/>
      <c r="B63" s="27"/>
      <c r="C63" s="27"/>
      <c r="D63" s="27"/>
      <c r="E63" s="33"/>
      <c r="F63" s="34"/>
      <c r="G63" s="25"/>
      <c r="H63" s="34"/>
      <c r="I63" s="14"/>
      <c r="J63" s="13"/>
      <c r="K63" s="13"/>
      <c r="L63" s="13"/>
    </row>
    <row r="64" spans="1:12" x14ac:dyDescent="0.35">
      <c r="A64" s="13"/>
      <c r="B64" s="27"/>
      <c r="C64" s="27"/>
      <c r="D64" s="27"/>
      <c r="E64" s="33"/>
      <c r="F64" s="34"/>
      <c r="G64" s="25"/>
      <c r="H64" s="34"/>
      <c r="I64" s="14"/>
      <c r="J64" s="13"/>
      <c r="K64" s="13"/>
      <c r="L64" s="13"/>
    </row>
    <row r="65" spans="1:12" x14ac:dyDescent="0.35">
      <c r="A65" s="13"/>
      <c r="B65" s="27"/>
      <c r="C65" s="27"/>
      <c r="D65" s="27"/>
      <c r="E65" s="33"/>
      <c r="F65" s="34"/>
      <c r="G65" s="25"/>
      <c r="H65" s="34"/>
      <c r="I65" s="14"/>
      <c r="J65" s="13"/>
      <c r="K65" s="13"/>
      <c r="L65" s="13"/>
    </row>
    <row r="66" spans="1:12" x14ac:dyDescent="0.35">
      <c r="A66" s="13"/>
      <c r="B66" s="27"/>
      <c r="C66" s="27"/>
      <c r="D66" s="27"/>
      <c r="E66" s="33"/>
      <c r="F66" s="34"/>
      <c r="G66" s="25"/>
      <c r="H66" s="34"/>
      <c r="I66" s="14"/>
      <c r="J66" s="13"/>
      <c r="K66" s="13"/>
      <c r="L66" s="13"/>
    </row>
    <row r="67" spans="1:12" x14ac:dyDescent="0.35">
      <c r="A67" s="13"/>
      <c r="B67" s="27"/>
      <c r="C67" s="27"/>
      <c r="D67" s="27"/>
      <c r="E67" s="33"/>
      <c r="F67" s="34"/>
      <c r="G67" s="25"/>
      <c r="H67" s="34"/>
      <c r="I67" s="14"/>
      <c r="J67" s="13"/>
      <c r="K67" s="13"/>
      <c r="L67" s="13"/>
    </row>
    <row r="68" spans="1:12" x14ac:dyDescent="0.35">
      <c r="A68" s="13"/>
      <c r="B68" s="27"/>
      <c r="C68" s="27"/>
      <c r="D68" s="27"/>
      <c r="E68" s="35"/>
      <c r="F68" s="36"/>
      <c r="G68" s="25"/>
      <c r="H68" s="36"/>
      <c r="I68" s="14"/>
      <c r="J68" s="13"/>
      <c r="K68" s="13"/>
      <c r="L68" s="13"/>
    </row>
    <row r="69" spans="1:12" x14ac:dyDescent="0.35">
      <c r="A69" s="13"/>
      <c r="B69" s="27"/>
      <c r="C69" s="27"/>
      <c r="D69" s="27"/>
      <c r="E69" s="33"/>
      <c r="F69" s="34"/>
      <c r="G69" s="25"/>
      <c r="H69" s="34"/>
      <c r="I69" s="14"/>
      <c r="J69" s="13"/>
      <c r="K69" s="13"/>
      <c r="L69" s="13"/>
    </row>
    <row r="70" spans="1:12" x14ac:dyDescent="0.35">
      <c r="A70" s="13"/>
      <c r="B70" s="27"/>
      <c r="C70" s="27"/>
      <c r="D70" s="27"/>
      <c r="E70" s="33"/>
      <c r="F70" s="34"/>
      <c r="G70" s="25"/>
      <c r="H70" s="34"/>
      <c r="I70" s="14"/>
      <c r="J70" s="13"/>
      <c r="K70" s="13"/>
      <c r="L70" s="13"/>
    </row>
    <row r="71" spans="1:12" x14ac:dyDescent="0.35">
      <c r="A71" s="13"/>
      <c r="B71" s="27"/>
      <c r="C71" s="27"/>
      <c r="D71" s="27"/>
      <c r="E71" s="33"/>
      <c r="F71" s="34"/>
      <c r="G71" s="25"/>
      <c r="H71" s="34"/>
      <c r="I71" s="14"/>
      <c r="J71" s="13"/>
      <c r="K71" s="13"/>
      <c r="L71" s="13"/>
    </row>
    <row r="72" spans="1:12" x14ac:dyDescent="0.35">
      <c r="A72" s="13"/>
      <c r="B72" s="27"/>
      <c r="C72" s="27"/>
      <c r="D72" s="27"/>
      <c r="E72" s="33"/>
      <c r="F72" s="34"/>
      <c r="G72" s="25"/>
      <c r="H72" s="34"/>
      <c r="I72" s="14"/>
      <c r="J72" s="13"/>
      <c r="K72" s="13"/>
      <c r="L72" s="13"/>
    </row>
    <row r="73" spans="1:12" x14ac:dyDescent="0.35">
      <c r="A73" s="13"/>
      <c r="B73" s="27"/>
      <c r="C73" s="27"/>
      <c r="D73" s="27"/>
      <c r="E73" s="33"/>
      <c r="F73" s="34"/>
      <c r="G73" s="25"/>
      <c r="H73" s="34"/>
      <c r="I73" s="14"/>
      <c r="J73" s="13"/>
      <c r="K73" s="13"/>
      <c r="L73" s="13"/>
    </row>
    <row r="74" spans="1:12" x14ac:dyDescent="0.35">
      <c r="A74" s="13"/>
      <c r="B74" s="27"/>
      <c r="C74" s="27"/>
      <c r="D74" s="27"/>
      <c r="E74" s="33"/>
      <c r="F74" s="34"/>
      <c r="G74" s="25"/>
      <c r="H74" s="34"/>
      <c r="I74" s="14"/>
      <c r="J74" s="13"/>
      <c r="K74" s="13"/>
      <c r="L74" s="13"/>
    </row>
    <row r="75" spans="1:12" x14ac:dyDescent="0.35">
      <c r="A75" s="13"/>
      <c r="B75" s="27"/>
      <c r="C75" s="27"/>
      <c r="D75" s="27"/>
      <c r="E75" s="33"/>
      <c r="F75" s="25"/>
      <c r="G75" s="25"/>
      <c r="H75" s="28"/>
      <c r="I75" s="14"/>
      <c r="J75" s="13"/>
      <c r="K75" s="13"/>
      <c r="L75" s="13"/>
    </row>
    <row r="76" spans="1:12" x14ac:dyDescent="0.35">
      <c r="A76" s="13"/>
      <c r="B76" s="27"/>
      <c r="C76" s="27"/>
      <c r="D76" s="27"/>
      <c r="E76" s="33"/>
      <c r="F76" s="25"/>
      <c r="G76" s="25"/>
      <c r="H76" s="28"/>
      <c r="I76" s="14"/>
      <c r="J76" s="13"/>
      <c r="K76" s="13"/>
      <c r="L76" s="13"/>
    </row>
    <row r="77" spans="1:12" x14ac:dyDescent="0.35">
      <c r="A77" s="13"/>
      <c r="B77" s="27"/>
      <c r="C77" s="27"/>
      <c r="D77" s="27"/>
      <c r="E77" s="33"/>
      <c r="F77" s="25"/>
      <c r="G77" s="25"/>
      <c r="H77" s="28"/>
      <c r="I77" s="14"/>
      <c r="J77" s="13"/>
      <c r="K77" s="13"/>
      <c r="L77" s="13"/>
    </row>
    <row r="78" spans="1:12" x14ac:dyDescent="0.35">
      <c r="A78" s="13"/>
      <c r="B78" s="27"/>
      <c r="C78" s="27"/>
      <c r="D78" s="27"/>
      <c r="E78" s="33"/>
      <c r="F78" s="25"/>
      <c r="G78" s="25"/>
      <c r="H78" s="28"/>
      <c r="I78" s="14"/>
      <c r="J78" s="13"/>
      <c r="K78" s="13"/>
      <c r="L78" s="13"/>
    </row>
    <row r="79" spans="1:12" x14ac:dyDescent="0.35">
      <c r="A79" s="13"/>
      <c r="B79" s="27"/>
      <c r="C79" s="27"/>
      <c r="D79" s="27"/>
      <c r="E79" s="33"/>
      <c r="F79" s="34"/>
      <c r="G79" s="25"/>
      <c r="H79" s="34"/>
      <c r="I79" s="14"/>
      <c r="J79" s="13"/>
      <c r="K79" s="13"/>
      <c r="L79" s="13"/>
    </row>
    <row r="80" spans="1:12" x14ac:dyDescent="0.35">
      <c r="A80" s="13"/>
      <c r="B80" s="27"/>
      <c r="C80" s="27"/>
      <c r="D80" s="27"/>
      <c r="E80" s="33"/>
      <c r="F80" s="34"/>
      <c r="G80" s="25"/>
      <c r="H80" s="34"/>
      <c r="I80" s="14"/>
      <c r="J80" s="13"/>
      <c r="K80" s="13"/>
      <c r="L80" s="13"/>
    </row>
  </sheetData>
  <dataConsolidate/>
  <mergeCells count="6">
    <mergeCell ref="A4:B4"/>
    <mergeCell ref="A1:B1"/>
    <mergeCell ref="A2:B2"/>
    <mergeCell ref="A3:B3"/>
    <mergeCell ref="C1:E1"/>
    <mergeCell ref="C2:E2"/>
  </mergeCells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13</xdr:col>
                    <xdr:colOff>0</xdr:colOff>
                    <xdr:row>4</xdr:row>
                    <xdr:rowOff>182880</xdr:rowOff>
                  </from>
                  <to>
                    <xdr:col>13</xdr:col>
                    <xdr:colOff>3200400</xdr:colOff>
                    <xdr:row>5</xdr:row>
                    <xdr:rowOff>480060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120AB-A823-41A2-8433-B5748AF9FE98}">
  <sheetPr codeName="Sheet2"/>
  <dimension ref="A1:H60"/>
  <sheetViews>
    <sheetView topLeftCell="A37" zoomScale="115" zoomScaleNormal="115" workbookViewId="0">
      <selection activeCell="A57" sqref="A57"/>
    </sheetView>
  </sheetViews>
  <sheetFormatPr defaultColWidth="8.88671875" defaultRowHeight="10.199999999999999" x14ac:dyDescent="0.2"/>
  <cols>
    <col min="1" max="1" width="12.88671875" style="1" bestFit="1" customWidth="1"/>
    <col min="2" max="2" width="10.6640625" style="1" bestFit="1" customWidth="1"/>
    <col min="3" max="3" width="7.44140625" style="1" bestFit="1" customWidth="1"/>
    <col min="4" max="4" width="5.109375" style="1" bestFit="1" customWidth="1"/>
    <col min="5" max="5" width="3.33203125" style="1" bestFit="1" customWidth="1"/>
    <col min="6" max="6" width="38.33203125" style="1" bestFit="1" customWidth="1"/>
    <col min="7" max="7" width="9" style="1" bestFit="1" customWidth="1"/>
    <col min="8" max="8" width="8.21875" style="1" bestFit="1" customWidth="1"/>
    <col min="9" max="16384" width="8.88671875" style="1"/>
  </cols>
  <sheetData>
    <row r="1" spans="1:8" x14ac:dyDescent="0.2">
      <c r="A1" s="1" t="s">
        <v>48</v>
      </c>
      <c r="B1" s="1" t="s">
        <v>49</v>
      </c>
      <c r="C1" s="1" t="s">
        <v>50</v>
      </c>
      <c r="D1" s="1" t="s">
        <v>51</v>
      </c>
      <c r="E1" s="1" t="s">
        <v>52</v>
      </c>
      <c r="F1" s="1" t="s">
        <v>53</v>
      </c>
      <c r="G1" s="1" t="s">
        <v>175</v>
      </c>
      <c r="H1" s="1" t="s">
        <v>176</v>
      </c>
    </row>
    <row r="2" spans="1:8" x14ac:dyDescent="0.2">
      <c r="A2" s="1" t="s">
        <v>61</v>
      </c>
      <c r="B2" s="1">
        <v>480</v>
      </c>
      <c r="C2" s="1" t="s">
        <v>138</v>
      </c>
      <c r="D2" s="1">
        <v>40</v>
      </c>
      <c r="E2" s="1" t="s">
        <v>13</v>
      </c>
      <c r="F2" s="1" t="s">
        <v>14</v>
      </c>
      <c r="G2" s="1">
        <v>9</v>
      </c>
      <c r="H2" s="1" t="s">
        <v>177</v>
      </c>
    </row>
    <row r="3" spans="1:8" x14ac:dyDescent="0.2">
      <c r="A3" s="1" t="s">
        <v>165</v>
      </c>
      <c r="B3" s="1">
        <v>660</v>
      </c>
      <c r="C3" s="1" t="s">
        <v>143</v>
      </c>
      <c r="D3" s="1">
        <v>55</v>
      </c>
      <c r="E3" s="1" t="s">
        <v>13</v>
      </c>
      <c r="F3" s="1" t="s">
        <v>157</v>
      </c>
      <c r="G3" s="1">
        <v>16</v>
      </c>
      <c r="H3" s="1" t="s">
        <v>177</v>
      </c>
    </row>
    <row r="4" spans="1:8" x14ac:dyDescent="0.2">
      <c r="A4" s="1" t="s">
        <v>62</v>
      </c>
      <c r="B4" s="1">
        <v>480</v>
      </c>
      <c r="C4" s="1" t="s">
        <v>131</v>
      </c>
      <c r="D4" s="1">
        <f t="shared" ref="D4:D43" si="0">B4/12</f>
        <v>40</v>
      </c>
      <c r="E4" s="1" t="s">
        <v>13</v>
      </c>
      <c r="F4" s="1" t="s">
        <v>15</v>
      </c>
      <c r="G4" s="1">
        <v>10</v>
      </c>
      <c r="H4" s="1" t="s">
        <v>177</v>
      </c>
    </row>
    <row r="5" spans="1:8" x14ac:dyDescent="0.2">
      <c r="A5" s="1" t="s">
        <v>172</v>
      </c>
      <c r="B5" s="1">
        <v>480</v>
      </c>
      <c r="C5" s="1" t="s">
        <v>173</v>
      </c>
      <c r="D5" s="1">
        <f t="shared" ref="D5" si="1">B5/12</f>
        <v>40</v>
      </c>
      <c r="E5" s="1" t="s">
        <v>13</v>
      </c>
      <c r="F5" s="1" t="s">
        <v>174</v>
      </c>
      <c r="G5" s="1">
        <v>48</v>
      </c>
      <c r="H5" s="1" t="s">
        <v>177</v>
      </c>
    </row>
    <row r="6" spans="1:8" x14ac:dyDescent="0.2">
      <c r="A6" s="1" t="s">
        <v>60</v>
      </c>
      <c r="B6" s="1">
        <v>764</v>
      </c>
      <c r="C6" s="1" t="s">
        <v>84</v>
      </c>
      <c r="D6" s="19" t="s">
        <v>122</v>
      </c>
      <c r="E6" s="1" t="s">
        <v>13</v>
      </c>
      <c r="F6" s="1" t="s">
        <v>16</v>
      </c>
      <c r="G6" s="1">
        <v>17</v>
      </c>
      <c r="H6" s="1" t="s">
        <v>177</v>
      </c>
    </row>
    <row r="7" spans="1:8" x14ac:dyDescent="0.2">
      <c r="A7" s="1" t="s">
        <v>60</v>
      </c>
      <c r="B7" s="1">
        <v>728</v>
      </c>
      <c r="C7" s="1" t="s">
        <v>85</v>
      </c>
      <c r="D7" s="19" t="s">
        <v>123</v>
      </c>
      <c r="E7" s="1" t="s">
        <v>13</v>
      </c>
      <c r="F7" s="1" t="s">
        <v>16</v>
      </c>
      <c r="G7" s="1">
        <v>17</v>
      </c>
      <c r="H7" s="1" t="s">
        <v>177</v>
      </c>
    </row>
    <row r="8" spans="1:8" x14ac:dyDescent="0.2">
      <c r="A8" s="1" t="s">
        <v>60</v>
      </c>
      <c r="B8" s="1">
        <v>720</v>
      </c>
      <c r="C8" s="1" t="s">
        <v>142</v>
      </c>
      <c r="D8" s="1">
        <v>60</v>
      </c>
      <c r="E8" s="1" t="s">
        <v>13</v>
      </c>
      <c r="F8" s="1" t="s">
        <v>16</v>
      </c>
      <c r="G8" s="1">
        <v>17</v>
      </c>
      <c r="H8" s="1" t="s">
        <v>177</v>
      </c>
    </row>
    <row r="9" spans="1:8" x14ac:dyDescent="0.2">
      <c r="A9" s="1" t="s">
        <v>60</v>
      </c>
      <c r="B9" s="1">
        <v>688</v>
      </c>
      <c r="C9" s="1" t="s">
        <v>86</v>
      </c>
      <c r="D9" s="19" t="s">
        <v>124</v>
      </c>
      <c r="E9" s="1" t="s">
        <v>13</v>
      </c>
      <c r="F9" s="1" t="s">
        <v>16</v>
      </c>
      <c r="G9" s="1">
        <v>17</v>
      </c>
      <c r="H9" s="1" t="s">
        <v>177</v>
      </c>
    </row>
    <row r="10" spans="1:8" x14ac:dyDescent="0.2">
      <c r="A10" s="1" t="s">
        <v>60</v>
      </c>
      <c r="B10" s="1">
        <v>604</v>
      </c>
      <c r="C10" s="1" t="s">
        <v>87</v>
      </c>
      <c r="D10" s="19" t="s">
        <v>125</v>
      </c>
      <c r="E10" s="1" t="s">
        <v>13</v>
      </c>
      <c r="F10" s="1" t="s">
        <v>16</v>
      </c>
      <c r="G10" s="1">
        <v>17</v>
      </c>
      <c r="H10" s="1" t="s">
        <v>177</v>
      </c>
    </row>
    <row r="11" spans="1:8" x14ac:dyDescent="0.2">
      <c r="A11" s="1" t="s">
        <v>60</v>
      </c>
      <c r="B11" s="1">
        <v>340</v>
      </c>
      <c r="C11" s="1" t="s">
        <v>88</v>
      </c>
      <c r="D11" s="19" t="s">
        <v>126</v>
      </c>
      <c r="E11" s="1" t="s">
        <v>13</v>
      </c>
      <c r="F11" s="1" t="s">
        <v>16</v>
      </c>
      <c r="G11" s="1">
        <v>17</v>
      </c>
      <c r="H11" s="1" t="s">
        <v>177</v>
      </c>
    </row>
    <row r="12" spans="1:8" x14ac:dyDescent="0.2">
      <c r="A12" s="1" t="s">
        <v>60</v>
      </c>
      <c r="B12" s="1">
        <v>332</v>
      </c>
      <c r="C12" s="1" t="s">
        <v>89</v>
      </c>
      <c r="D12" s="19" t="s">
        <v>127</v>
      </c>
      <c r="E12" s="1" t="s">
        <v>13</v>
      </c>
      <c r="F12" s="1" t="s">
        <v>16</v>
      </c>
      <c r="G12" s="1">
        <v>17</v>
      </c>
      <c r="H12" s="1" t="s">
        <v>177</v>
      </c>
    </row>
    <row r="13" spans="1:8" x14ac:dyDescent="0.2">
      <c r="A13" s="1" t="s">
        <v>60</v>
      </c>
      <c r="B13" s="1">
        <v>308</v>
      </c>
      <c r="C13" s="1" t="s">
        <v>90</v>
      </c>
      <c r="D13" s="19" t="s">
        <v>128</v>
      </c>
      <c r="E13" s="1" t="s">
        <v>13</v>
      </c>
      <c r="F13" s="1" t="s">
        <v>16</v>
      </c>
      <c r="G13" s="1">
        <v>17</v>
      </c>
      <c r="H13" s="1" t="s">
        <v>177</v>
      </c>
    </row>
    <row r="14" spans="1:8" x14ac:dyDescent="0.2">
      <c r="A14" s="1" t="s">
        <v>59</v>
      </c>
      <c r="B14" s="1">
        <v>700</v>
      </c>
      <c r="C14" s="1" t="s">
        <v>91</v>
      </c>
      <c r="D14" s="19" t="s">
        <v>129</v>
      </c>
      <c r="E14" s="1" t="s">
        <v>13</v>
      </c>
      <c r="F14" s="1" t="s">
        <v>17</v>
      </c>
      <c r="G14" s="1">
        <v>30</v>
      </c>
      <c r="H14" s="1" t="s">
        <v>177</v>
      </c>
    </row>
    <row r="15" spans="1:8" x14ac:dyDescent="0.2">
      <c r="A15" s="1" t="s">
        <v>59</v>
      </c>
      <c r="B15" s="1">
        <v>816</v>
      </c>
      <c r="C15" s="1" t="s">
        <v>108</v>
      </c>
      <c r="D15" s="1">
        <v>68</v>
      </c>
      <c r="E15" s="1" t="s">
        <v>13</v>
      </c>
      <c r="F15" s="1" t="s">
        <v>17</v>
      </c>
      <c r="G15" s="1">
        <v>30</v>
      </c>
      <c r="H15" s="1" t="s">
        <v>177</v>
      </c>
    </row>
    <row r="16" spans="1:8" x14ac:dyDescent="0.2">
      <c r="A16" s="1" t="s">
        <v>113</v>
      </c>
      <c r="B16" s="1">
        <v>783</v>
      </c>
      <c r="C16" s="1" t="s">
        <v>114</v>
      </c>
      <c r="D16" s="19" t="s">
        <v>130</v>
      </c>
      <c r="E16" s="1" t="s">
        <v>13</v>
      </c>
      <c r="F16" s="1" t="s">
        <v>115</v>
      </c>
      <c r="G16" s="1">
        <v>50</v>
      </c>
      <c r="H16" s="1" t="s">
        <v>177</v>
      </c>
    </row>
    <row r="17" spans="1:8" x14ac:dyDescent="0.2">
      <c r="A17" s="1" t="s">
        <v>105</v>
      </c>
      <c r="B17" s="1">
        <v>816</v>
      </c>
      <c r="C17" s="1" t="s">
        <v>106</v>
      </c>
      <c r="D17" s="1">
        <v>68</v>
      </c>
      <c r="E17" s="1" t="s">
        <v>13</v>
      </c>
      <c r="F17" s="1" t="s">
        <v>107</v>
      </c>
      <c r="G17" s="1">
        <v>84</v>
      </c>
      <c r="H17" s="1" t="s">
        <v>177</v>
      </c>
    </row>
    <row r="18" spans="1:8" x14ac:dyDescent="0.2">
      <c r="A18" s="1" t="s">
        <v>41</v>
      </c>
      <c r="B18" s="1">
        <v>804</v>
      </c>
      <c r="C18" s="1" t="s">
        <v>92</v>
      </c>
      <c r="D18" s="1">
        <v>67</v>
      </c>
      <c r="E18" s="1" t="s">
        <v>13</v>
      </c>
      <c r="F18" s="1" t="s">
        <v>18</v>
      </c>
      <c r="G18" s="1">
        <v>50</v>
      </c>
      <c r="H18" s="1" t="s">
        <v>177</v>
      </c>
    </row>
    <row r="19" spans="1:8" x14ac:dyDescent="0.2">
      <c r="A19" s="1" t="s">
        <v>41</v>
      </c>
      <c r="B19" s="1">
        <v>756</v>
      </c>
      <c r="C19" s="1" t="s">
        <v>93</v>
      </c>
      <c r="D19" s="1">
        <v>63</v>
      </c>
      <c r="E19" s="1" t="s">
        <v>13</v>
      </c>
      <c r="F19" s="1" t="s">
        <v>18</v>
      </c>
      <c r="G19" s="1">
        <v>50</v>
      </c>
      <c r="H19" s="1" t="s">
        <v>177</v>
      </c>
    </row>
    <row r="20" spans="1:8" x14ac:dyDescent="0.2">
      <c r="A20" s="1" t="s">
        <v>41</v>
      </c>
      <c r="B20" s="1">
        <v>732</v>
      </c>
      <c r="C20" s="1" t="s">
        <v>94</v>
      </c>
      <c r="D20" s="1">
        <v>61</v>
      </c>
      <c r="E20" s="1" t="s">
        <v>13</v>
      </c>
      <c r="F20" s="1" t="s">
        <v>18</v>
      </c>
      <c r="G20" s="1">
        <v>50</v>
      </c>
      <c r="H20" s="1" t="s">
        <v>177</v>
      </c>
    </row>
    <row r="21" spans="1:8" x14ac:dyDescent="0.2">
      <c r="A21" s="1" t="s">
        <v>41</v>
      </c>
      <c r="B21" s="1">
        <v>720</v>
      </c>
      <c r="C21" s="1" t="s">
        <v>137</v>
      </c>
      <c r="D21" s="1">
        <v>60</v>
      </c>
      <c r="E21" s="1" t="s">
        <v>13</v>
      </c>
      <c r="F21" s="1" t="s">
        <v>18</v>
      </c>
      <c r="G21" s="1">
        <v>50</v>
      </c>
      <c r="H21" s="1" t="s">
        <v>177</v>
      </c>
    </row>
    <row r="22" spans="1:8" x14ac:dyDescent="0.2">
      <c r="A22" s="1" t="s">
        <v>41</v>
      </c>
      <c r="B22" s="1">
        <v>692</v>
      </c>
      <c r="C22" s="1" t="s">
        <v>95</v>
      </c>
      <c r="D22" s="19" t="s">
        <v>116</v>
      </c>
      <c r="E22" s="1" t="s">
        <v>13</v>
      </c>
      <c r="F22" s="1" t="s">
        <v>18</v>
      </c>
      <c r="G22" s="1">
        <v>50</v>
      </c>
      <c r="H22" s="1" t="s">
        <v>177</v>
      </c>
    </row>
    <row r="23" spans="1:8" x14ac:dyDescent="0.2">
      <c r="A23" s="1" t="s">
        <v>41</v>
      </c>
      <c r="B23" s="1">
        <v>672</v>
      </c>
      <c r="C23" s="1" t="s">
        <v>96</v>
      </c>
      <c r="D23" s="1">
        <v>56</v>
      </c>
      <c r="E23" s="1" t="s">
        <v>13</v>
      </c>
      <c r="F23" s="1" t="s">
        <v>18</v>
      </c>
      <c r="G23" s="1">
        <v>50</v>
      </c>
      <c r="H23" s="1" t="s">
        <v>177</v>
      </c>
    </row>
    <row r="24" spans="1:8" x14ac:dyDescent="0.2">
      <c r="A24" s="1" t="s">
        <v>41</v>
      </c>
      <c r="B24" s="1">
        <v>580</v>
      </c>
      <c r="C24" s="1" t="s">
        <v>97</v>
      </c>
      <c r="D24" s="19" t="s">
        <v>117</v>
      </c>
      <c r="E24" s="1" t="s">
        <v>13</v>
      </c>
      <c r="F24" s="1" t="s">
        <v>18</v>
      </c>
      <c r="G24" s="1">
        <v>50</v>
      </c>
      <c r="H24" s="1" t="s">
        <v>177</v>
      </c>
    </row>
    <row r="25" spans="1:8" x14ac:dyDescent="0.2">
      <c r="A25" s="1" t="s">
        <v>41</v>
      </c>
      <c r="B25" s="1">
        <v>568</v>
      </c>
      <c r="C25" s="1" t="s">
        <v>98</v>
      </c>
      <c r="D25" s="19" t="s">
        <v>118</v>
      </c>
      <c r="E25" s="1" t="s">
        <v>13</v>
      </c>
      <c r="F25" s="1" t="s">
        <v>18</v>
      </c>
      <c r="G25" s="1">
        <v>50</v>
      </c>
      <c r="H25" s="1" t="s">
        <v>177</v>
      </c>
    </row>
    <row r="26" spans="1:8" x14ac:dyDescent="0.2">
      <c r="A26" s="1" t="s">
        <v>41</v>
      </c>
      <c r="B26" s="1">
        <v>460</v>
      </c>
      <c r="C26" s="1" t="s">
        <v>99</v>
      </c>
      <c r="D26" s="19" t="s">
        <v>119</v>
      </c>
      <c r="E26" s="1" t="s">
        <v>13</v>
      </c>
      <c r="F26" s="1" t="s">
        <v>18</v>
      </c>
      <c r="G26" s="1">
        <v>50</v>
      </c>
      <c r="H26" s="1" t="s">
        <v>177</v>
      </c>
    </row>
    <row r="27" spans="1:8" x14ac:dyDescent="0.2">
      <c r="A27" s="1" t="s">
        <v>41</v>
      </c>
      <c r="B27" s="1">
        <v>440</v>
      </c>
      <c r="C27" s="1" t="s">
        <v>100</v>
      </c>
      <c r="D27" s="19" t="s">
        <v>120</v>
      </c>
      <c r="E27" s="1" t="s">
        <v>13</v>
      </c>
      <c r="F27" s="1" t="s">
        <v>18</v>
      </c>
      <c r="G27" s="1">
        <v>50</v>
      </c>
      <c r="H27" s="1" t="s">
        <v>177</v>
      </c>
    </row>
    <row r="28" spans="1:8" x14ac:dyDescent="0.2">
      <c r="A28" s="1" t="s">
        <v>41</v>
      </c>
      <c r="B28" s="1">
        <v>424</v>
      </c>
      <c r="C28" s="1" t="s">
        <v>101</v>
      </c>
      <c r="D28" s="19" t="s">
        <v>121</v>
      </c>
      <c r="E28" s="1" t="s">
        <v>13</v>
      </c>
      <c r="F28" s="1" t="s">
        <v>18</v>
      </c>
      <c r="G28" s="1">
        <v>50</v>
      </c>
      <c r="H28" s="1" t="s">
        <v>177</v>
      </c>
    </row>
    <row r="29" spans="1:8" x14ac:dyDescent="0.2">
      <c r="A29" s="1" t="s">
        <v>168</v>
      </c>
      <c r="B29" s="1">
        <v>480</v>
      </c>
      <c r="C29" s="1" t="s">
        <v>153</v>
      </c>
      <c r="D29" s="1">
        <v>40</v>
      </c>
      <c r="E29" s="1" t="s">
        <v>13</v>
      </c>
      <c r="F29" s="1" t="s">
        <v>169</v>
      </c>
      <c r="G29" s="1">
        <v>5</v>
      </c>
      <c r="H29" s="1" t="s">
        <v>177</v>
      </c>
    </row>
    <row r="30" spans="1:8" x14ac:dyDescent="0.2">
      <c r="A30" s="1" t="s">
        <v>170</v>
      </c>
      <c r="B30" s="1">
        <v>480</v>
      </c>
      <c r="C30" s="1" t="s">
        <v>154</v>
      </c>
      <c r="D30" s="1">
        <v>40</v>
      </c>
      <c r="E30" s="1" t="s">
        <v>13</v>
      </c>
      <c r="F30" s="1" t="s">
        <v>171</v>
      </c>
      <c r="G30" s="1">
        <v>5.4</v>
      </c>
      <c r="H30" s="1" t="s">
        <v>177</v>
      </c>
    </row>
    <row r="31" spans="1:8" x14ac:dyDescent="0.2">
      <c r="A31" s="1" t="s">
        <v>42</v>
      </c>
      <c r="B31" s="1">
        <v>480</v>
      </c>
      <c r="C31" s="1" t="s">
        <v>155</v>
      </c>
      <c r="D31" s="1">
        <f t="shared" si="0"/>
        <v>40</v>
      </c>
      <c r="E31" s="1" t="s">
        <v>13</v>
      </c>
      <c r="F31" s="1" t="s">
        <v>19</v>
      </c>
      <c r="G31" s="1">
        <v>8.1999999999999993</v>
      </c>
      <c r="H31" s="1" t="s">
        <v>177</v>
      </c>
    </row>
    <row r="32" spans="1:8" x14ac:dyDescent="0.2">
      <c r="A32" s="1" t="s">
        <v>63</v>
      </c>
      <c r="B32" s="1">
        <v>480</v>
      </c>
      <c r="C32" s="1" t="s">
        <v>20</v>
      </c>
      <c r="D32" s="1">
        <v>40</v>
      </c>
      <c r="E32" s="1" t="s">
        <v>13</v>
      </c>
      <c r="F32" s="1" t="s">
        <v>21</v>
      </c>
      <c r="G32" s="1">
        <v>11.5</v>
      </c>
      <c r="H32" s="1" t="s">
        <v>177</v>
      </c>
    </row>
    <row r="33" spans="1:8" x14ac:dyDescent="0.2">
      <c r="A33" s="1" t="s">
        <v>43</v>
      </c>
      <c r="B33" s="1">
        <v>480</v>
      </c>
      <c r="C33" s="1" t="s">
        <v>156</v>
      </c>
      <c r="D33" s="1">
        <v>40</v>
      </c>
      <c r="E33" s="1" t="s">
        <v>13</v>
      </c>
      <c r="F33" s="1" t="s">
        <v>22</v>
      </c>
      <c r="G33" s="1">
        <v>15.3</v>
      </c>
      <c r="H33" s="1" t="s">
        <v>177</v>
      </c>
    </row>
    <row r="34" spans="1:8" x14ac:dyDescent="0.2">
      <c r="A34" s="1" t="s">
        <v>44</v>
      </c>
      <c r="B34" s="1">
        <v>336</v>
      </c>
      <c r="C34" s="1" t="s">
        <v>140</v>
      </c>
      <c r="D34" s="1">
        <v>28</v>
      </c>
      <c r="E34" s="1" t="s">
        <v>13</v>
      </c>
      <c r="F34" s="1" t="s">
        <v>23</v>
      </c>
      <c r="G34" s="1">
        <v>25</v>
      </c>
      <c r="H34" s="1" t="s">
        <v>177</v>
      </c>
    </row>
    <row r="35" spans="1:8" x14ac:dyDescent="0.2">
      <c r="A35" s="1" t="s">
        <v>44</v>
      </c>
      <c r="B35" s="1">
        <v>480</v>
      </c>
      <c r="C35" s="1" t="s">
        <v>141</v>
      </c>
      <c r="D35" s="1">
        <v>40</v>
      </c>
      <c r="E35" s="1" t="s">
        <v>13</v>
      </c>
      <c r="F35" s="1" t="s">
        <v>23</v>
      </c>
      <c r="G35" s="1">
        <v>25</v>
      </c>
      <c r="H35" s="1" t="s">
        <v>177</v>
      </c>
    </row>
    <row r="36" spans="1:8" x14ac:dyDescent="0.2">
      <c r="A36" s="1" t="s">
        <v>158</v>
      </c>
      <c r="B36" s="1">
        <v>480</v>
      </c>
      <c r="C36" s="1" t="s">
        <v>144</v>
      </c>
      <c r="D36" s="1">
        <v>40</v>
      </c>
      <c r="E36" s="1" t="s">
        <v>13</v>
      </c>
      <c r="F36" s="1" t="s">
        <v>159</v>
      </c>
      <c r="G36" s="1">
        <v>12</v>
      </c>
      <c r="H36" s="1" t="s">
        <v>177</v>
      </c>
    </row>
    <row r="37" spans="1:8" x14ac:dyDescent="0.2">
      <c r="A37" s="1" t="s">
        <v>162</v>
      </c>
      <c r="B37" s="1">
        <v>480</v>
      </c>
      <c r="C37" s="1" t="s">
        <v>145</v>
      </c>
      <c r="D37" s="1">
        <v>40</v>
      </c>
      <c r="E37" s="1" t="s">
        <v>13</v>
      </c>
      <c r="F37" s="1" t="s">
        <v>161</v>
      </c>
      <c r="G37" s="1">
        <v>15.3</v>
      </c>
      <c r="H37" s="1" t="s">
        <v>177</v>
      </c>
    </row>
    <row r="38" spans="1:8" x14ac:dyDescent="0.2">
      <c r="A38" s="1" t="s">
        <v>58</v>
      </c>
      <c r="B38" s="1">
        <v>480</v>
      </c>
      <c r="C38" s="1" t="s">
        <v>139</v>
      </c>
      <c r="D38" s="1">
        <v>40</v>
      </c>
      <c r="E38" s="1" t="s">
        <v>13</v>
      </c>
      <c r="F38" s="1" t="s">
        <v>160</v>
      </c>
      <c r="G38" s="1">
        <v>18</v>
      </c>
      <c r="H38" s="1" t="s">
        <v>177</v>
      </c>
    </row>
    <row r="39" spans="1:8" x14ac:dyDescent="0.2">
      <c r="A39" s="1" t="s">
        <v>163</v>
      </c>
      <c r="B39" s="1">
        <v>480</v>
      </c>
      <c r="C39" s="1" t="s">
        <v>146</v>
      </c>
      <c r="D39" s="1">
        <v>40</v>
      </c>
      <c r="E39" s="1" t="s">
        <v>13</v>
      </c>
      <c r="F39" s="1" t="s">
        <v>164</v>
      </c>
      <c r="G39" s="1">
        <v>20</v>
      </c>
      <c r="H39" s="1" t="s">
        <v>177</v>
      </c>
    </row>
    <row r="40" spans="1:8" x14ac:dyDescent="0.2">
      <c r="A40" s="1" t="s">
        <v>45</v>
      </c>
      <c r="B40" s="1">
        <v>480</v>
      </c>
      <c r="C40" s="1" t="s">
        <v>147</v>
      </c>
      <c r="D40" s="1">
        <v>40</v>
      </c>
      <c r="E40" s="1" t="s">
        <v>13</v>
      </c>
      <c r="F40" s="1" t="s">
        <v>24</v>
      </c>
      <c r="G40" s="1">
        <v>22.8</v>
      </c>
      <c r="H40" s="1" t="s">
        <v>177</v>
      </c>
    </row>
    <row r="41" spans="1:8" x14ac:dyDescent="0.2">
      <c r="A41" s="1" t="s">
        <v>46</v>
      </c>
      <c r="B41" s="1">
        <v>480</v>
      </c>
      <c r="C41" s="1" t="s">
        <v>148</v>
      </c>
      <c r="D41" s="1">
        <v>40</v>
      </c>
      <c r="E41" s="1" t="s">
        <v>13</v>
      </c>
      <c r="F41" s="1" t="s">
        <v>25</v>
      </c>
      <c r="G41" s="1">
        <v>22</v>
      </c>
      <c r="H41" s="1" t="s">
        <v>177</v>
      </c>
    </row>
    <row r="42" spans="1:8" x14ac:dyDescent="0.2">
      <c r="A42" s="1" t="s">
        <v>166</v>
      </c>
      <c r="B42" s="1">
        <v>480</v>
      </c>
      <c r="C42" s="1" t="s">
        <v>149</v>
      </c>
      <c r="D42" s="1">
        <v>40</v>
      </c>
      <c r="E42" s="1" t="s">
        <v>13</v>
      </c>
      <c r="F42" s="1" t="s">
        <v>167</v>
      </c>
      <c r="G42" s="1">
        <v>31</v>
      </c>
      <c r="H42" s="1" t="s">
        <v>177</v>
      </c>
    </row>
    <row r="43" spans="1:8" x14ac:dyDescent="0.2">
      <c r="A43" s="1" t="s">
        <v>64</v>
      </c>
      <c r="B43" s="1">
        <v>336</v>
      </c>
      <c r="C43" s="1" t="s">
        <v>150</v>
      </c>
      <c r="D43" s="1">
        <f t="shared" si="0"/>
        <v>28</v>
      </c>
      <c r="E43" s="1" t="s">
        <v>13</v>
      </c>
      <c r="F43" s="1" t="s">
        <v>26</v>
      </c>
      <c r="G43" s="1">
        <v>45</v>
      </c>
      <c r="H43" s="1" t="s">
        <v>177</v>
      </c>
    </row>
    <row r="44" spans="1:8" x14ac:dyDescent="0.2">
      <c r="A44" s="1" t="s">
        <v>64</v>
      </c>
      <c r="B44" s="1">
        <v>492</v>
      </c>
      <c r="C44" s="1" t="s">
        <v>151</v>
      </c>
      <c r="D44" s="1">
        <v>41</v>
      </c>
      <c r="E44" s="1" t="s">
        <v>13</v>
      </c>
      <c r="F44" s="1" t="s">
        <v>26</v>
      </c>
      <c r="G44" s="1">
        <v>45</v>
      </c>
      <c r="H44" s="1" t="s">
        <v>177</v>
      </c>
    </row>
    <row r="45" spans="1:8" x14ac:dyDescent="0.2">
      <c r="A45" s="1" t="s">
        <v>64</v>
      </c>
      <c r="B45" s="1">
        <v>720</v>
      </c>
      <c r="C45" s="1" t="s">
        <v>133</v>
      </c>
      <c r="D45" s="1">
        <v>60</v>
      </c>
      <c r="E45" s="1" t="s">
        <v>13</v>
      </c>
      <c r="F45" s="1" t="s">
        <v>26</v>
      </c>
      <c r="G45" s="1">
        <v>45</v>
      </c>
      <c r="H45" s="1" t="s">
        <v>177</v>
      </c>
    </row>
    <row r="46" spans="1:8" x14ac:dyDescent="0.2">
      <c r="A46" s="1" t="s">
        <v>64</v>
      </c>
      <c r="B46" s="1">
        <v>816</v>
      </c>
      <c r="C46" s="1" t="s">
        <v>109</v>
      </c>
      <c r="D46" s="1">
        <v>68</v>
      </c>
      <c r="E46" s="1" t="s">
        <v>13</v>
      </c>
      <c r="F46" s="1" t="s">
        <v>26</v>
      </c>
      <c r="G46" s="1">
        <v>45</v>
      </c>
      <c r="H46" s="1" t="s">
        <v>177</v>
      </c>
    </row>
    <row r="47" spans="1:8" x14ac:dyDescent="0.2">
      <c r="A47" s="1" t="s">
        <v>64</v>
      </c>
      <c r="B47" s="1">
        <v>480</v>
      </c>
      <c r="C47" s="1" t="s">
        <v>132</v>
      </c>
      <c r="D47" s="1">
        <v>40</v>
      </c>
      <c r="E47" s="1" t="s">
        <v>13</v>
      </c>
      <c r="F47" s="1" t="s">
        <v>26</v>
      </c>
      <c r="G47" s="1">
        <v>45</v>
      </c>
      <c r="H47" s="1" t="s">
        <v>177</v>
      </c>
    </row>
    <row r="48" spans="1:8" x14ac:dyDescent="0.2">
      <c r="A48" s="1" t="s">
        <v>47</v>
      </c>
      <c r="B48" s="1">
        <v>720</v>
      </c>
      <c r="C48" s="1" t="s">
        <v>152</v>
      </c>
      <c r="D48" s="1">
        <v>60</v>
      </c>
      <c r="E48" s="1" t="s">
        <v>13</v>
      </c>
      <c r="F48" s="1" t="s">
        <v>27</v>
      </c>
      <c r="G48" s="1">
        <v>42.7</v>
      </c>
      <c r="H48" s="1" t="s">
        <v>177</v>
      </c>
    </row>
    <row r="49" spans="1:8" x14ac:dyDescent="0.2">
      <c r="A49" s="1" t="s">
        <v>57</v>
      </c>
      <c r="B49" s="1">
        <v>240</v>
      </c>
      <c r="C49" s="1" t="s">
        <v>28</v>
      </c>
      <c r="D49" s="1">
        <v>20</v>
      </c>
      <c r="E49" s="1" t="s">
        <v>13</v>
      </c>
      <c r="F49" s="1" t="s">
        <v>29</v>
      </c>
      <c r="G49" s="1">
        <v>5.0999999999999996</v>
      </c>
      <c r="H49" s="1" t="s">
        <v>178</v>
      </c>
    </row>
    <row r="50" spans="1:8" x14ac:dyDescent="0.2">
      <c r="A50" s="1" t="s">
        <v>180</v>
      </c>
      <c r="B50" s="1">
        <v>480</v>
      </c>
      <c r="C50" s="1" t="s">
        <v>179</v>
      </c>
      <c r="D50" s="1">
        <v>40</v>
      </c>
      <c r="E50" s="1" t="s">
        <v>13</v>
      </c>
      <c r="F50" s="1" t="s">
        <v>181</v>
      </c>
      <c r="G50" s="1">
        <v>8.81</v>
      </c>
      <c r="H50" s="1" t="s">
        <v>177</v>
      </c>
    </row>
    <row r="51" spans="1:8" x14ac:dyDescent="0.2">
      <c r="A51" s="1" t="s">
        <v>70</v>
      </c>
      <c r="B51" s="1">
        <v>480</v>
      </c>
      <c r="C51" s="1" t="s">
        <v>30</v>
      </c>
      <c r="D51" s="1">
        <v>40</v>
      </c>
      <c r="E51" s="1" t="s">
        <v>13</v>
      </c>
      <c r="F51" s="1" t="s">
        <v>31</v>
      </c>
      <c r="G51" s="1">
        <v>6.73</v>
      </c>
      <c r="H51" s="1" t="s">
        <v>178</v>
      </c>
    </row>
    <row r="52" spans="1:8" x14ac:dyDescent="0.2">
      <c r="A52" s="1" t="s">
        <v>65</v>
      </c>
      <c r="B52" s="1">
        <v>480</v>
      </c>
      <c r="C52" s="1" t="s">
        <v>32</v>
      </c>
      <c r="D52" s="1">
        <v>40</v>
      </c>
      <c r="E52" s="1" t="s">
        <v>13</v>
      </c>
      <c r="F52" s="1" t="s">
        <v>33</v>
      </c>
      <c r="G52" s="1">
        <v>12.72</v>
      </c>
      <c r="H52" s="1" t="s">
        <v>178</v>
      </c>
    </row>
    <row r="53" spans="1:8" x14ac:dyDescent="0.2">
      <c r="A53" s="1" t="s">
        <v>67</v>
      </c>
      <c r="B53" s="1">
        <v>480</v>
      </c>
      <c r="C53" s="1" t="s">
        <v>34</v>
      </c>
      <c r="D53" s="1">
        <v>40</v>
      </c>
      <c r="E53" s="1" t="s">
        <v>13</v>
      </c>
      <c r="F53" s="1" t="s">
        <v>35</v>
      </c>
      <c r="G53" s="1">
        <v>19.82</v>
      </c>
      <c r="H53" s="1" t="s">
        <v>178</v>
      </c>
    </row>
    <row r="54" spans="1:8" x14ac:dyDescent="0.2">
      <c r="A54" s="1" t="s">
        <v>66</v>
      </c>
      <c r="B54" s="1">
        <v>480</v>
      </c>
      <c r="C54" s="1" t="s">
        <v>36</v>
      </c>
      <c r="D54" s="1">
        <v>40</v>
      </c>
      <c r="E54" s="1" t="s">
        <v>13</v>
      </c>
      <c r="F54" s="1" t="s">
        <v>37</v>
      </c>
      <c r="G54" s="1">
        <v>6.27</v>
      </c>
      <c r="H54" s="1" t="s">
        <v>178</v>
      </c>
    </row>
    <row r="55" spans="1:8" x14ac:dyDescent="0.2">
      <c r="A55" s="1" t="s">
        <v>81</v>
      </c>
      <c r="B55" s="1">
        <v>480</v>
      </c>
      <c r="C55" s="1" t="s">
        <v>82</v>
      </c>
      <c r="D55" s="1">
        <v>40</v>
      </c>
      <c r="E55" s="1" t="s">
        <v>13</v>
      </c>
      <c r="F55" s="1" t="s">
        <v>83</v>
      </c>
      <c r="G55" s="1">
        <v>7.11</v>
      </c>
      <c r="H55" s="1" t="s">
        <v>178</v>
      </c>
    </row>
    <row r="56" spans="1:8" x14ac:dyDescent="0.2">
      <c r="A56" s="1" t="s">
        <v>68</v>
      </c>
      <c r="B56" s="1">
        <v>240</v>
      </c>
      <c r="C56" s="1" t="s">
        <v>38</v>
      </c>
      <c r="D56" s="1">
        <v>20</v>
      </c>
      <c r="E56" s="1" t="s">
        <v>13</v>
      </c>
      <c r="F56" s="1" t="s">
        <v>71</v>
      </c>
      <c r="G56" s="1">
        <v>2.41</v>
      </c>
      <c r="H56" s="1" t="s">
        <v>177</v>
      </c>
    </row>
    <row r="57" spans="1:8" x14ac:dyDescent="0.2">
      <c r="A57" s="1" t="s">
        <v>69</v>
      </c>
      <c r="B57" s="1">
        <v>480</v>
      </c>
      <c r="C57" s="1" t="s">
        <v>39</v>
      </c>
      <c r="D57" s="1">
        <v>40</v>
      </c>
      <c r="E57" s="1" t="s">
        <v>13</v>
      </c>
      <c r="F57" s="1" t="s">
        <v>40</v>
      </c>
      <c r="G57" s="1">
        <v>4.87</v>
      </c>
      <c r="H57" s="1" t="s">
        <v>178</v>
      </c>
    </row>
    <row r="58" spans="1:8" x14ac:dyDescent="0.2">
      <c r="A58" s="1" t="s">
        <v>78</v>
      </c>
      <c r="B58" s="1">
        <v>240</v>
      </c>
      <c r="C58" s="1" t="s">
        <v>72</v>
      </c>
      <c r="D58" s="1">
        <v>20</v>
      </c>
      <c r="E58" s="1" t="s">
        <v>13</v>
      </c>
      <c r="F58" s="1" t="s">
        <v>73</v>
      </c>
      <c r="G58" s="1">
        <v>10.3</v>
      </c>
      <c r="H58" s="1" t="s">
        <v>177</v>
      </c>
    </row>
    <row r="59" spans="1:8" x14ac:dyDescent="0.2">
      <c r="A59" s="1" t="s">
        <v>79</v>
      </c>
      <c r="B59" s="1">
        <v>252</v>
      </c>
      <c r="C59" s="1" t="s">
        <v>74</v>
      </c>
      <c r="D59" s="1">
        <v>21</v>
      </c>
      <c r="E59" s="1" t="s">
        <v>13</v>
      </c>
      <c r="F59" s="1" t="s">
        <v>75</v>
      </c>
      <c r="G59" s="1">
        <v>7.58</v>
      </c>
      <c r="H59" s="1" t="s">
        <v>177</v>
      </c>
    </row>
    <row r="60" spans="1:8" x14ac:dyDescent="0.2">
      <c r="A60" s="1" t="s">
        <v>80</v>
      </c>
      <c r="B60" s="1">
        <v>252</v>
      </c>
      <c r="C60" s="1" t="s">
        <v>76</v>
      </c>
      <c r="D60" s="1">
        <v>21</v>
      </c>
      <c r="E60" s="1" t="s">
        <v>13</v>
      </c>
      <c r="F60" s="1" t="s">
        <v>77</v>
      </c>
      <c r="G60" s="1">
        <v>3.66</v>
      </c>
      <c r="H60" s="1" t="s">
        <v>178</v>
      </c>
    </row>
  </sheetData>
  <phoneticPr fontId="2" type="noConversion"/>
  <conditionalFormatting sqref="C56:C60 C54 C49 C1:C47">
    <cfRule type="duplicateValues" dxfId="29" priority="32"/>
  </conditionalFormatting>
  <conditionalFormatting sqref="C50:C51">
    <cfRule type="duplicateValues" dxfId="28" priority="31"/>
  </conditionalFormatting>
  <conditionalFormatting sqref="C52:C53">
    <cfRule type="duplicateValues" dxfId="27" priority="30"/>
  </conditionalFormatting>
  <conditionalFormatting sqref="C8">
    <cfRule type="duplicateValues" dxfId="26" priority="25"/>
  </conditionalFormatting>
  <conditionalFormatting sqref="C64 C129:C1048576 C1:C47 C49:C61">
    <cfRule type="duplicateValues" dxfId="25" priority="205"/>
  </conditionalFormatting>
  <conditionalFormatting sqref="C64 C55 C129:C1048576">
    <cfRule type="duplicateValues" dxfId="24" priority="209"/>
  </conditionalFormatting>
  <conditionalFormatting sqref="C62:C63">
    <cfRule type="duplicateValues" dxfId="23" priority="212"/>
  </conditionalFormatting>
  <conditionalFormatting sqref="A61">
    <cfRule type="duplicateValues" dxfId="22" priority="7"/>
  </conditionalFormatting>
  <conditionalFormatting sqref="A61">
    <cfRule type="duplicateValues" dxfId="21" priority="6"/>
  </conditionalFormatting>
  <conditionalFormatting sqref="A61">
    <cfRule type="duplicateValues" dxfId="20" priority="5"/>
  </conditionalFormatting>
  <conditionalFormatting sqref="C61">
    <cfRule type="duplicateValues" dxfId="19" priority="4"/>
  </conditionalFormatting>
  <conditionalFormatting sqref="B61">
    <cfRule type="duplicateValues" dxfId="18" priority="3"/>
  </conditionalFormatting>
  <conditionalFormatting sqref="B61">
    <cfRule type="duplicateValues" dxfId="17" priority="2"/>
  </conditionalFormatting>
  <conditionalFormatting sqref="B61">
    <cfRule type="duplicateValues" dxfId="16" priority="1"/>
  </conditionalFormatting>
  <conditionalFormatting sqref="C129:C1048576 C65:G128 C1:C47 C49:C64">
    <cfRule type="duplicateValues" dxfId="15" priority="213"/>
  </conditionalFormatting>
  <conditionalFormatting sqref="C129:C1048576 C65:G128 C1:C64">
    <cfRule type="duplicateValues" dxfId="14" priority="217"/>
  </conditionalFormatting>
  <conditionalFormatting sqref="C65:G128">
    <cfRule type="duplicateValues" dxfId="13" priority="220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EFF3E-2D94-4539-9476-2C93BD224251}">
  <sheetPr codeName="Sheet4"/>
  <dimension ref="A1:H3"/>
  <sheetViews>
    <sheetView zoomScale="70" zoomScaleNormal="70" workbookViewId="0"/>
  </sheetViews>
  <sheetFormatPr defaultRowHeight="18" x14ac:dyDescent="0.3"/>
  <cols>
    <col min="1" max="1" width="31.33203125" style="42" customWidth="1"/>
    <col min="2" max="2" width="32.21875" style="42" customWidth="1"/>
    <col min="3" max="3" width="18.33203125" style="42" customWidth="1"/>
    <col min="4" max="4" width="11.33203125" style="42" customWidth="1"/>
    <col min="5" max="5" width="14.44140625" style="42" customWidth="1"/>
    <col min="6" max="6" width="39.33203125" style="42" customWidth="1"/>
    <col min="7" max="7" width="27.21875" style="42" customWidth="1"/>
    <col min="8" max="8" width="37.5546875" style="42" customWidth="1"/>
    <col min="9" max="9" width="18.77734375" style="42" customWidth="1"/>
    <col min="10" max="10" width="22.44140625" style="42" customWidth="1"/>
    <col min="11" max="11" width="17.21875" style="42" customWidth="1"/>
    <col min="12" max="16384" width="8.88671875" style="42"/>
  </cols>
  <sheetData>
    <row r="1" spans="1:8" x14ac:dyDescent="0.3">
      <c r="A1" s="39" t="s">
        <v>184</v>
      </c>
      <c r="B1" s="40" t="s">
        <v>185</v>
      </c>
      <c r="C1" s="40" t="s">
        <v>176</v>
      </c>
      <c r="D1" s="40" t="s">
        <v>186</v>
      </c>
      <c r="E1" s="40" t="s">
        <v>187</v>
      </c>
      <c r="F1" s="40" t="s">
        <v>188</v>
      </c>
      <c r="G1" s="40" t="s">
        <v>189</v>
      </c>
      <c r="H1" s="41" t="s">
        <v>190</v>
      </c>
    </row>
    <row r="2" spans="1:8" x14ac:dyDescent="0.3">
      <c r="A2" s="43" t="s">
        <v>44</v>
      </c>
      <c r="B2" s="44" t="s">
        <v>141</v>
      </c>
      <c r="C2" s="44" t="s">
        <v>177</v>
      </c>
      <c r="D2" s="44" t="s">
        <v>191</v>
      </c>
      <c r="E2" s="44">
        <v>2</v>
      </c>
      <c r="F2" s="44">
        <v>480</v>
      </c>
      <c r="G2" s="44">
        <v>40</v>
      </c>
      <c r="H2" s="45">
        <v>80</v>
      </c>
    </row>
    <row r="3" spans="1:8" x14ac:dyDescent="0.3">
      <c r="A3" s="46" t="s">
        <v>69</v>
      </c>
      <c r="B3" s="47" t="s">
        <v>39</v>
      </c>
      <c r="C3" s="47" t="s">
        <v>178</v>
      </c>
      <c r="D3" s="47" t="s">
        <v>13</v>
      </c>
      <c r="E3" s="47">
        <v>297.52</v>
      </c>
      <c r="F3" s="47">
        <v>480</v>
      </c>
      <c r="G3" s="47">
        <v>40</v>
      </c>
      <c r="H3" s="48">
        <v>320</v>
      </c>
    </row>
  </sheetData>
  <pageMargins left="0.19685039370078738" right="0.19685039370078738" top="0.19685039370078738" bottom="0.27559055118110232" header="0.11811023622047243" footer="3.9370078740157487E-2"/>
  <pageSetup paperSize="3" fitToWidth="0" fitToHeight="0" orientation="landscape" r:id="rId1"/>
  <headerFooter>
    <oddFooter>&amp;C&amp;"Calibri,Bold"&amp;14&amp;A&amp;R&amp;"Calibri,Bold"&amp;14 Sheet &amp;P of &amp;N</oddFooter>
  </headerFooter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NestingSummary</vt:lpstr>
      <vt:lpstr>NestingSummary!Print_Titles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GD19</cp:lastModifiedBy>
  <cp:lastPrinted>2025-02-18T11:05:08Z</cp:lastPrinted>
  <dcterms:created xsi:type="dcterms:W3CDTF">2015-06-05T18:17:20Z</dcterms:created>
  <dcterms:modified xsi:type="dcterms:W3CDTF">2025-05-13T05:45:32Z</dcterms:modified>
</cp:coreProperties>
</file>